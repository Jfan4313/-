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652"/>
  </bookViews>
  <sheets>
    <sheet name="基础数据" sheetId="1" r:id="rId1"/>
    <sheet name="光伏发电衰减表 输入数据" sheetId="4" r:id="rId2"/>
    <sheet name="业主收益（租金、节能收益）" sheetId="17" r:id="rId3"/>
    <sheet name="税金参数" sheetId="13" r:id="rId4"/>
    <sheet name="等额本息（融资租赁）" sheetId="18" r:id="rId5"/>
    <sheet name="等额本金（银行贷款）" sheetId="16" r:id="rId6"/>
    <sheet name="光伏发电衰减表min EMC" sheetId="6" state="hidden" r:id="rId7"/>
    <sheet name="光伏发电衰减表 理论均值 EMC" sheetId="7" state="hidden" r:id="rId8"/>
    <sheet name="消纳率参数" sheetId="8" r:id="rId9"/>
    <sheet name="投资收益（含利润分配）" sheetId="5" r:id="rId10"/>
    <sheet name="光伏发电衰减表min" sheetId="3" state="hidden" r:id="rId11"/>
    <sheet name="收益回报表min" sheetId="2" state="hidden" r:id="rId12"/>
  </sheets>
  <definedNames>
    <definedName name="_xlnm.Print_Area" localSheetId="9">'投资收益（含利润分配）'!$B$3:$G$36</definedName>
    <definedName name="_xlnm.Print_Area" localSheetId="11">收益回报表min!$B$2:$I$35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<sst xmlns="http://schemas.openxmlformats.org/spreadsheetml/2006/main" count="710" uniqueCount="257">
  <si>
    <t>光伏系统（一）</t>
  </si>
  <si>
    <t>棚架（二）</t>
  </si>
  <si>
    <t>棚架（三）</t>
  </si>
  <si>
    <t>面积㎡</t>
  </si>
  <si>
    <t>装机容量KWp</t>
  </si>
  <si>
    <t>单价（元/KWp）</t>
  </si>
  <si>
    <t>小计</t>
  </si>
  <si>
    <t>单价</t>
  </si>
  <si>
    <t>工程造价合计</t>
  </si>
  <si>
    <t>遮挡发电系数</t>
  </si>
  <si>
    <t>总装机容量</t>
  </si>
  <si>
    <t>光伏发电站计量参数</t>
  </si>
  <si>
    <t>综合造价</t>
  </si>
  <si>
    <t>首年预计发电量（KW.h）（未计算衰减）</t>
  </si>
  <si>
    <t>月份</t>
  </si>
  <si>
    <t>日照时长</t>
  </si>
  <si>
    <t>系统综合效率</t>
  </si>
  <si>
    <t>非正南角度</t>
  </si>
  <si>
    <t>发电天数</t>
  </si>
  <si>
    <t>实际等效可利用时间</t>
  </si>
  <si>
    <t>发电量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</si>
  <si>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</si>
  <si>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</si>
  <si>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</si>
  <si>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</si>
  <si>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</si>
  <si>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</si>
  <si>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</si>
  <si>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</si>
  <si>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</si>
  <si>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</si>
  <si>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</si>
  <si>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</si>
  <si>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</t>
  </si>
  <si>
    <t>合计</t>
  </si>
  <si>
    <t>节能减排表</t>
  </si>
  <si>
    <t>光伏保险费用（元）</t>
  </si>
  <si>
    <t>项目</t>
  </si>
  <si>
    <t>节约标准煤</t>
  </si>
  <si>
    <r>
      <rPr>
        <sz val="11"/>
        <rFont val="微软雅黑"/>
        <charset val="134"/>
      </rPr>
      <t>减排CO</t>
    </r>
    <r>
      <rPr>
        <vertAlign val="subscript"/>
        <sz val="11"/>
        <rFont val="微软雅黑"/>
        <charset val="134"/>
      </rPr>
      <t>2</t>
    </r>
  </si>
  <si>
    <t>减排SOx</t>
  </si>
  <si>
    <t>减排NOx</t>
  </si>
  <si>
    <t>等效植树</t>
  </si>
  <si>
    <t>度</t>
  </si>
  <si>
    <t>吨</t>
  </si>
  <si>
    <t>棵</t>
  </si>
  <si>
    <t>光伏发电站运维费用（元）</t>
  </si>
  <si>
    <t>第一年</t>
  </si>
  <si>
    <t>25年合计</t>
  </si>
  <si>
    <t>碳交易权价值</t>
  </si>
  <si>
    <t>发电量（度）</t>
  </si>
  <si>
    <t>减排碳（吨）</t>
  </si>
  <si>
    <t>单价（元）</t>
  </si>
  <si>
    <t>合计（元）</t>
  </si>
  <si>
    <t>每年平均</t>
  </si>
  <si>
    <t>每年除去七、八、九月 平均电价计算（元/KW.h）</t>
  </si>
  <si>
    <t>年发电量预估（峰值日照时长平均值）</t>
  </si>
  <si>
    <t>消纳率</t>
  </si>
  <si>
    <t>余电上网率</t>
  </si>
  <si>
    <t>*成立新公司</t>
  </si>
  <si>
    <t>本测算表假设5%</t>
  </si>
  <si>
    <t>供电局购电价</t>
  </si>
  <si>
    <t>尖电电价</t>
  </si>
  <si>
    <t>峰电电价</t>
  </si>
  <si>
    <t>平段电价</t>
  </si>
  <si>
    <t>谷电电价</t>
  </si>
  <si>
    <t>输配电费（尖）</t>
  </si>
  <si>
    <t>输配电费（峰）</t>
  </si>
  <si>
    <t>输配电费（平）</t>
  </si>
  <si>
    <t>基金及附加费</t>
  </si>
  <si>
    <t>年份</t>
  </si>
  <si>
    <t>系统发电效率(%)</t>
  </si>
  <si>
    <t>发电收入（不含13%增值税）</t>
  </si>
  <si>
    <t>运维</t>
  </si>
  <si>
    <t>保险</t>
  </si>
  <si>
    <t>资金成本</t>
  </si>
  <si>
    <t>租金</t>
  </si>
  <si>
    <t>经营费5%</t>
  </si>
  <si>
    <t>税金合计</t>
  </si>
  <si>
    <t>碳权价值</t>
  </si>
  <si>
    <t>税后发电净收入</t>
  </si>
  <si>
    <t>余电上网电价（元）</t>
  </si>
  <si>
    <t>忽略</t>
  </si>
  <si>
    <t>光伏发电电价</t>
  </si>
  <si>
    <t>电费折扣</t>
  </si>
  <si>
    <t>加权系数</t>
  </si>
  <si>
    <t>合计时段</t>
  </si>
  <si>
    <t>全年平均电价</t>
  </si>
  <si>
    <t>加权后平均电价</t>
  </si>
  <si>
    <t>首年总发电量</t>
  </si>
  <si>
    <t>每年七、八、九月 平均电价计算（元/KW.h）</t>
  </si>
  <si>
    <t>首年除七、八、九月发电总量</t>
  </si>
  <si>
    <t>首年七、八、九月发电总量</t>
  </si>
  <si>
    <t>首年预计发电量（KW.h）(计算衰减）</t>
  </si>
  <si>
    <t>*默认首年1%衰减，如需变化手动调整</t>
  </si>
  <si>
    <t>月发电量</t>
  </si>
  <si>
    <t>工程造价</t>
  </si>
  <si>
    <t>运维费用</t>
  </si>
  <si>
    <t>保险费用</t>
  </si>
  <si>
    <t>.</t>
  </si>
  <si>
    <t>*假设运维保险开专票</t>
  </si>
  <si>
    <t>业主租金收益</t>
  </si>
  <si>
    <t>业主节能收益</t>
  </si>
  <si>
    <t>业主租金收益（元/年）</t>
  </si>
  <si>
    <t>累计租金收益（元）</t>
  </si>
  <si>
    <t>业主节能收益（元/年）</t>
  </si>
  <si>
    <t>系统发电效率</t>
  </si>
  <si>
    <t>租赁面积（㎡）</t>
  </si>
  <si>
    <t>南网电价（元/KWh）</t>
  </si>
  <si>
    <t>租金（元/㎡/年）</t>
  </si>
  <si>
    <t>电能折扣（%）</t>
  </si>
  <si>
    <t>打折电价（元/KWh）</t>
  </si>
  <si>
    <t>每消纳1KWh能节约（元/KWh）</t>
  </si>
  <si>
    <t>*增值税正负处抵扣完要手动转换公式
数字转正后第一个表格同上公式，正数第二个表格用新公式</t>
  </si>
  <si>
    <t>*小微税率</t>
  </si>
  <si>
    <t>*等额本息（融资租赁）</t>
  </si>
  <si>
    <t>发电收入增值税(卖电＋上网）</t>
  </si>
  <si>
    <t>运维、保险留抵进项税</t>
  </si>
  <si>
    <t>租金留抵进项税5%</t>
  </si>
  <si>
    <t>增值税</t>
  </si>
  <si>
    <t>应交增值税</t>
  </si>
  <si>
    <t>城市维护建设税</t>
  </si>
  <si>
    <t>教育费附加税</t>
  </si>
  <si>
    <t>地方教育附加</t>
  </si>
  <si>
    <t>税金及附加</t>
  </si>
  <si>
    <t>折旧摊销</t>
  </si>
  <si>
    <t>应税所得额（利润）</t>
  </si>
  <si>
    <t>应交所得税5%</t>
  </si>
  <si>
    <t>增值税合计</t>
  </si>
  <si>
    <t>税金及附加合计</t>
  </si>
  <si>
    <t>所得税合计</t>
  </si>
  <si>
    <t>*假设按原税率进行纳税</t>
  </si>
  <si>
    <t>工程造价（含税）</t>
  </si>
  <si>
    <t>名称</t>
  </si>
  <si>
    <t>原税率（%）</t>
  </si>
  <si>
    <t>税率(小微企业）</t>
  </si>
  <si>
    <t>备注</t>
  </si>
  <si>
    <t>增值税及附加税费</t>
  </si>
  <si>
    <t>增值税率</t>
  </si>
  <si>
    <t>/</t>
  </si>
  <si>
    <t>城市维护建设税率</t>
  </si>
  <si>
    <t>（小微企业减征50%）</t>
  </si>
  <si>
    <t>工程造价（不含税）</t>
  </si>
  <si>
    <t>造价留抵进项税</t>
  </si>
  <si>
    <t>教育费附加税率</t>
  </si>
  <si>
    <t>所得税</t>
  </si>
  <si>
    <t>所得税率</t>
  </si>
  <si>
    <t>小微企业5%</t>
  </si>
  <si>
    <t>*企业出租房屋，一般纳税人税率为9%，小规模纳税人税率为5%
一般纳税人出租其2016年4月30日前取得的不动产，按5%征收</t>
  </si>
  <si>
    <t>租金计划表（原表格参考，投放本金100万）</t>
  </si>
  <si>
    <t>租金计划表（月还款）</t>
  </si>
  <si>
    <t>租金计划表（年还款）</t>
  </si>
  <si>
    <t>编制时间</t>
  </si>
  <si>
    <t>2024-07-30</t>
  </si>
  <si>
    <t/>
  </si>
  <si>
    <t>单位：元</t>
  </si>
  <si>
    <t>租赁方式</t>
  </si>
  <si>
    <t>直租</t>
  </si>
  <si>
    <t>计划投放日期</t>
  </si>
  <si>
    <t>租赁期限(月)</t>
  </si>
  <si>
    <t>租赁期限(年)</t>
  </si>
  <si>
    <t>合同金额</t>
  </si>
  <si>
    <t>首付款金额(直租)</t>
  </si>
  <si>
    <t>投放本金</t>
  </si>
  <si>
    <t>项目IRR</t>
  </si>
  <si>
    <t>质保金金额(直租)</t>
  </si>
  <si>
    <t>客户风险金金额</t>
  </si>
  <si>
    <t>厂商保证金金额</t>
  </si>
  <si>
    <t>年租息率</t>
  </si>
  <si>
    <t>名义货价</t>
  </si>
  <si>
    <t>LPR利率发布日期</t>
  </si>
  <si>
    <t>当期LPR利率</t>
  </si>
  <si>
    <t>加减点</t>
  </si>
  <si>
    <t>期次</t>
  </si>
  <si>
    <t>租金支付日</t>
  </si>
  <si>
    <t>当期租金总额</t>
  </si>
  <si>
    <t>当期租赁利息</t>
  </si>
  <si>
    <t>当期租赁本金</t>
  </si>
  <si>
    <t>剩余本金</t>
  </si>
  <si>
    <t>每年利息合计</t>
  </si>
  <si>
    <t>等额本金（年还款）</t>
  </si>
  <si>
    <t>贷款总额（元）</t>
  </si>
  <si>
    <t>期数</t>
  </si>
  <si>
    <t>剩余应计算利息的本金（元）</t>
  </si>
  <si>
    <t>每年应还利息（元）</t>
  </si>
  <si>
    <t>资金成本合计</t>
  </si>
  <si>
    <t>贷款利率</t>
  </si>
  <si>
    <t>贷款期数</t>
  </si>
  <si>
    <t>等额本金</t>
  </si>
  <si>
    <t>每期应还本金（元）</t>
  </si>
  <si>
    <t>*若需要月还款，还款期数=年*12</t>
  </si>
  <si>
    <t>*月利率=年利率/12</t>
  </si>
  <si>
    <t>年发电量预估（理论最小值）</t>
  </si>
  <si>
    <t>业主消纳率</t>
  </si>
  <si>
    <t>节能效益（元）</t>
  </si>
  <si>
    <t>月平均发电量（度）</t>
  </si>
  <si>
    <t>电价折扣（EMC）</t>
  </si>
  <si>
    <t>首年发电量</t>
  </si>
  <si>
    <t>首年除七、八、九月的发电总量</t>
  </si>
  <si>
    <t>首年预计发电量（KW.h）</t>
  </si>
  <si>
    <t>年发电量预估（理论平均值）</t>
  </si>
  <si>
    <t>折扣</t>
  </si>
  <si>
    <t>电费单</t>
  </si>
  <si>
    <t>按业主电费单核算</t>
  </si>
  <si>
    <t>尖</t>
  </si>
  <si>
    <t>可消纳光伏电</t>
  </si>
  <si>
    <t>光伏发电量</t>
  </si>
  <si>
    <t>峰</t>
  </si>
  <si>
    <t>平</t>
  </si>
  <si>
    <t>当月消纳率</t>
  </si>
  <si>
    <t>结算价格</t>
  </si>
  <si>
    <t>消纳率＜10%</t>
  </si>
  <si>
    <t>10%≤ 消纳率 ＜20%</t>
  </si>
  <si>
    <t>20%≤ 消纳率 ＜30%</t>
  </si>
  <si>
    <t>30%≤ 消纳率 ＜40%</t>
  </si>
  <si>
    <t>40%≤ 消纳率 ＜50%</t>
  </si>
  <si>
    <t>50%≤ 消纳率 ＜60%</t>
  </si>
  <si>
    <t>60%≤ 消纳率 ＜70%</t>
  </si>
  <si>
    <t>70%≤ 消纳率 ＜80%</t>
  </si>
  <si>
    <t>80%≤ 消纳率 ＜90%</t>
  </si>
  <si>
    <t>90%≤ 消纳率 ≤100%</t>
  </si>
  <si>
    <t>按业主变压器核算（假设满负载）</t>
  </si>
  <si>
    <t>*无电费单、装机容量&gt;变压器容量的情况，用业主变压器核算
1小时用电量=变压器容量×功率系数</t>
  </si>
  <si>
    <t>变压器容量（KVA）</t>
  </si>
  <si>
    <t>功率系数</t>
  </si>
  <si>
    <t>客户一天生产总时长（小时）</t>
  </si>
  <si>
    <t>*累计的法定公积金&gt;注册资本的50%后，可不再提取
*可每年按10%提取，也可盈利当年一次性提取注册资本的50%</t>
  </si>
  <si>
    <t>合资公司投资收益回报表（峰值日照时长平均值）</t>
  </si>
  <si>
    <t>利润和利润分配（按利润10%逐年提取）</t>
  </si>
  <si>
    <t>发电收入</t>
  </si>
  <si>
    <t>投资成本</t>
  </si>
  <si>
    <t>累计净收入</t>
  </si>
  <si>
    <t>项目净利润</t>
  </si>
  <si>
    <t>预计提取10%</t>
  </si>
  <si>
    <t>累计提取公积金</t>
  </si>
  <si>
    <t>目标</t>
  </si>
  <si>
    <t>拟提取</t>
  </si>
  <si>
    <t>实际提取</t>
  </si>
  <si>
    <t>可供分配利润</t>
  </si>
  <si>
    <t>业主分红收益</t>
  </si>
  <si>
    <t>注册资本（元）</t>
  </si>
  <si>
    <t>业主占股比例</t>
  </si>
  <si>
    <r>
      <rPr>
        <sz val="12"/>
        <rFont val="微软雅黑"/>
        <charset val="134"/>
      </rPr>
      <t>按《公司法》规定：
1.公司分配</t>
    </r>
    <r>
      <rPr>
        <sz val="12"/>
        <color theme="1"/>
        <rFont val="微软雅黑"/>
        <charset val="134"/>
      </rPr>
      <t>当年税后利润时，应当提取利润的百分之十列入公司法定公积金。公司</t>
    </r>
    <r>
      <rPr>
        <sz val="12"/>
        <rFont val="微软雅黑"/>
        <charset val="134"/>
      </rPr>
      <t>法定公积金累计额为公司</t>
    </r>
    <r>
      <rPr>
        <sz val="12"/>
        <color rgb="FFFF0000"/>
        <rFont val="微软雅黑"/>
        <charset val="134"/>
      </rPr>
      <t>注册资本的百分之五十以上的，可以不再提取</t>
    </r>
    <r>
      <rPr>
        <sz val="12"/>
        <rFont val="微软雅黑"/>
        <charset val="134"/>
      </rPr>
      <t>。
2.公司的法定公积金不足以弥补以前年度亏损的，在依照前款规定提取法定公积金之前，应当先用当年利润弥补亏损。
3.公司弥补亏损和提取公积金后所余税后利润，有限责任公司依照本法第三十五条的规定分配；股份有限公司按照股东持有的股份比例分配，但股份有限公司章程规定不按持股比例分配的除外。</t>
    </r>
  </si>
  <si>
    <t>irr内部收益率</t>
  </si>
  <si>
    <t>年发电量预估（极端天气）</t>
  </si>
  <si>
    <t>发电收入（元）</t>
  </si>
  <si>
    <t>业主自投收益回报表（极端天气）</t>
  </si>
  <si>
    <t>银行贷款投资收益回报表（极端天气）</t>
  </si>
  <si>
    <t>等额本息还款计算器</t>
  </si>
  <si>
    <t>净收入</t>
  </si>
  <si>
    <t>等额本息还款</t>
  </si>
  <si>
    <t>利率</t>
  </si>
  <si>
    <t>贷款金额</t>
  </si>
  <si>
    <t>贷款年限</t>
  </si>
  <si>
    <t>每月应还</t>
  </si>
  <si>
    <t>每年应还</t>
  </si>
  <si>
    <t>总利息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</si>
</sst>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178" formatCode="#,##0_ "/>
    <numFmt numFmtId="179" formatCode="0_ "/>
    <numFmt numFmtId="180" formatCode="0.00;[Red]0.00"/>
    <numFmt numFmtId="181" formatCode="#,##0.0000_ "/>
    <numFmt numFmtId="182" formatCode="0.0000%"/>
    <numFmt numFmtId="183" formatCode="yyyy\-mm\-dd;@"/>
    <numFmt numFmtId="184" formatCode="yyyy\-mm\-dd"/>
    <numFmt numFmtId="185" formatCode="0.00000_ "/>
    <numFmt numFmtId="186" formatCode="_ * #,##0_ ;_ * \-#,##0_ ;_ * &quot;-&quot;??_ ;_ @_ "/>
    <numFmt numFmtId="187" formatCode="#,##0.00_ ;[Red]\-#,##0.00\ "/>
    <numFmt numFmtId="188" formatCode="#,##0.0000_ ;[Red]\-#,##0.0000\ "/>
    <numFmt numFmtId="189" formatCode="#,##0_ ;[Red]\-#,##0\ "/>
    <numFmt numFmtId="190" formatCode="0.0000_ "/>
    <numFmt numFmtId="191" formatCode="0.000000_ "/>
  </numFmts>
  <fonts count="43">
    <font>
      <sz val="12"/>
      <name val="宋体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宋体"/>
      <charset val="134"/>
    </font>
    <font>
      <sz val="10"/>
      <name val="Microsoft YaHei"/>
      <charset val="134"/>
    </font>
    <font>
      <b/>
      <sz val="12"/>
      <name val="微软雅黑"/>
      <charset val="134"/>
    </font>
    <font>
      <sz val="10"/>
      <color rgb="FFFF0000"/>
      <name val="微软雅黑"/>
      <charset val="134"/>
    </font>
    <font>
      <sz val="15"/>
      <name val="宋体"/>
      <charset val="134"/>
      <scheme val="minor"/>
    </font>
    <font>
      <sz val="11"/>
      <name val="宋体"/>
      <charset val="134"/>
      <scheme val="minor"/>
    </font>
    <font>
      <b/>
      <sz val="15"/>
      <name val="宋体"/>
      <charset val="134"/>
    </font>
    <font>
      <b/>
      <sz val="12"/>
      <name val="宋体"/>
      <charset val="134"/>
    </font>
    <font>
      <sz val="12"/>
      <name val="宋体"/>
      <charset val="134"/>
      <scheme val="minor"/>
    </font>
    <font>
      <b/>
      <sz val="10"/>
      <name val="微软雅黑"/>
      <charset val="134"/>
    </font>
    <font>
      <sz val="12"/>
      <color rgb="FFFF000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微软雅黑"/>
      <charset val="134"/>
    </font>
    <font>
      <sz val="12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0" borderId="3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40" applyNumberFormat="0" applyAlignment="0" applyProtection="0">
      <alignment vertical="center"/>
    </xf>
    <xf numFmtId="0" fontId="31" fillId="12" borderId="41" applyNumberFormat="0" applyAlignment="0" applyProtection="0">
      <alignment vertical="center"/>
    </xf>
    <xf numFmtId="0" fontId="32" fillId="12" borderId="40" applyNumberFormat="0" applyAlignment="0" applyProtection="0">
      <alignment vertical="center"/>
    </xf>
    <xf numFmtId="0" fontId="33" fillId="13" borderId="42" applyNumberFormat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5" fillId="0" borderId="44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3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178" fontId="3" fillId="2" borderId="3" xfId="0" applyNumberFormat="1" applyFont="1" applyFill="1" applyBorder="1" applyAlignment="1">
      <alignment horizont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0" fillId="0" borderId="0" xfId="0" applyNumberFormat="1">
      <alignment vertical="center"/>
    </xf>
    <xf numFmtId="179" fontId="4" fillId="0" borderId="3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178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10" fontId="1" fillId="2" borderId="4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40" fontId="1" fillId="2" borderId="9" xfId="0" applyNumberFormat="1" applyFont="1" applyFill="1" applyBorder="1" applyAlignment="1">
      <alignment horizontal="center" vertical="center"/>
    </xf>
    <xf numFmtId="40" fontId="1" fillId="2" borderId="10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180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readingOrder="1"/>
    </xf>
    <xf numFmtId="10" fontId="5" fillId="4" borderId="15" xfId="0" applyNumberFormat="1" applyFont="1" applyFill="1" applyBorder="1" applyAlignment="1">
      <alignment horizontal="center" vertical="center" wrapText="1" readingOrder="1"/>
    </xf>
    <xf numFmtId="10" fontId="5" fillId="0" borderId="15" xfId="0" applyNumberFormat="1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 readingOrder="1"/>
    </xf>
    <xf numFmtId="178" fontId="5" fillId="0" borderId="9" xfId="0" applyNumberFormat="1" applyFont="1" applyBorder="1" applyAlignment="1">
      <alignment horizontal="center" vertical="center" wrapText="1" readingOrder="1"/>
    </xf>
    <xf numFmtId="178" fontId="5" fillId="0" borderId="15" xfId="0" applyNumberFormat="1" applyFont="1" applyBorder="1" applyAlignment="1">
      <alignment horizontal="center" vertical="center" wrapText="1" readingOrder="1"/>
    </xf>
    <xf numFmtId="178" fontId="5" fillId="0" borderId="16" xfId="0" applyNumberFormat="1" applyFont="1" applyBorder="1" applyAlignment="1">
      <alignment horizontal="center" vertical="center" wrapText="1"/>
    </xf>
    <xf numFmtId="178" fontId="5" fillId="0" borderId="17" xfId="0" applyNumberFormat="1" applyFont="1" applyBorder="1" applyAlignment="1">
      <alignment horizontal="center" vertical="center" wrapText="1"/>
    </xf>
    <xf numFmtId="178" fontId="5" fillId="2" borderId="17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8" fontId="1" fillId="0" borderId="22" xfId="0" applyNumberFormat="1" applyFont="1" applyBorder="1" applyAlignment="1">
      <alignment horizontal="center" vertical="center"/>
    </xf>
    <xf numFmtId="181" fontId="1" fillId="2" borderId="22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76" fontId="1" fillId="2" borderId="22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10" fontId="0" fillId="0" borderId="0" xfId="0" applyNumberForma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176" fontId="3" fillId="0" borderId="9" xfId="0" applyNumberFormat="1" applyFont="1" applyBorder="1" applyAlignment="1">
      <alignment horizontal="center" vertical="center" wrapText="1"/>
    </xf>
    <xf numFmtId="177" fontId="3" fillId="0" borderId="9" xfId="0" applyNumberFormat="1" applyFont="1" applyBorder="1" applyAlignment="1">
      <alignment horizontal="center" vertical="center" wrapText="1"/>
    </xf>
    <xf numFmtId="178" fontId="3" fillId="0" borderId="9" xfId="0" applyNumberFormat="1" applyFont="1" applyBorder="1" applyAlignment="1">
      <alignment horizontal="center" wrapText="1"/>
    </xf>
    <xf numFmtId="177" fontId="3" fillId="0" borderId="9" xfId="0" applyNumberFormat="1" applyFont="1" applyBorder="1" applyAlignment="1">
      <alignment horizontal="center" wrapText="1"/>
    </xf>
    <xf numFmtId="0" fontId="3" fillId="0" borderId="9" xfId="0" applyFont="1" applyFill="1" applyBorder="1" applyAlignment="1">
      <alignment horizontal="center" vertical="center" wrapText="1"/>
    </xf>
    <xf numFmtId="178" fontId="3" fillId="0" borderId="9" xfId="0" applyNumberFormat="1" applyFont="1" applyFill="1" applyBorder="1" applyAlignment="1">
      <alignment horizont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78" fontId="3" fillId="2" borderId="9" xfId="0" applyNumberFormat="1" applyFont="1" applyFill="1" applyBorder="1" applyAlignment="1">
      <alignment horizont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177" fontId="3" fillId="2" borderId="9" xfId="0" applyNumberFormat="1" applyFont="1" applyFill="1" applyBorder="1" applyAlignment="1">
      <alignment horizontal="center" wrapText="1"/>
    </xf>
    <xf numFmtId="177" fontId="3" fillId="2" borderId="9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10" fontId="1" fillId="2" borderId="9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177" fontId="1" fillId="0" borderId="9" xfId="0" applyNumberFormat="1" applyFont="1" applyFill="1" applyBorder="1" applyAlignment="1">
      <alignment horizontal="center" vertical="center"/>
    </xf>
    <xf numFmtId="177" fontId="1" fillId="0" borderId="23" xfId="0" applyNumberFormat="1" applyFont="1" applyBorder="1" applyAlignment="1">
      <alignment horizontal="center" vertical="center"/>
    </xf>
    <xf numFmtId="177" fontId="1" fillId="0" borderId="24" xfId="0" applyNumberFormat="1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77" fontId="0" fillId="5" borderId="9" xfId="0" applyNumberForma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177" fontId="1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8" fontId="5" fillId="0" borderId="9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0" xfId="0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178" fontId="5" fillId="0" borderId="9" xfId="0" applyNumberFormat="1" applyFont="1" applyBorder="1" applyAlignment="1">
      <alignment horizontal="center" vertical="center" wrapText="1"/>
    </xf>
    <xf numFmtId="178" fontId="5" fillId="5" borderId="9" xfId="0" applyNumberFormat="1" applyFont="1" applyFill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10" fontId="5" fillId="2" borderId="9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0" fontId="1" fillId="4" borderId="22" xfId="0" applyNumberFormat="1" applyFont="1" applyFill="1" applyBorder="1" applyAlignment="1">
      <alignment horizontal="center" vertical="center"/>
    </xf>
    <xf numFmtId="177" fontId="1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0" fontId="5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9" xfId="0" applyFont="1" applyBorder="1" applyAlignment="1">
      <alignment vertical="center"/>
    </xf>
    <xf numFmtId="40" fontId="5" fillId="0" borderId="9" xfId="0" applyNumberFormat="1" applyFont="1" applyBorder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176" fontId="12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right" vertical="center"/>
    </xf>
    <xf numFmtId="0" fontId="14" fillId="0" borderId="9" xfId="0" applyFont="1" applyFill="1" applyBorder="1" applyAlignment="1">
      <alignment horizontal="right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right" vertical="center"/>
    </xf>
    <xf numFmtId="0" fontId="0" fillId="0" borderId="9" xfId="0" applyNumberFormat="1" applyFont="1" applyFill="1" applyBorder="1" applyAlignment="1">
      <alignment vertical="center"/>
    </xf>
    <xf numFmtId="4" fontId="0" fillId="0" borderId="9" xfId="0" applyNumberFormat="1" applyFont="1" applyFill="1" applyBorder="1" applyAlignment="1">
      <alignment vertical="center"/>
    </xf>
    <xf numFmtId="10" fontId="0" fillId="0" borderId="9" xfId="0" applyNumberFormat="1" applyFont="1" applyFill="1" applyBorder="1" applyAlignment="1">
      <alignment vertical="center"/>
    </xf>
    <xf numFmtId="182" fontId="0" fillId="0" borderId="9" xfId="0" applyNumberFormat="1" applyFont="1" applyFill="1" applyBorder="1" applyAlignment="1">
      <alignment vertical="center"/>
    </xf>
    <xf numFmtId="183" fontId="0" fillId="0" borderId="9" xfId="0" applyNumberFormat="1" applyFont="1" applyFill="1" applyBorder="1" applyAlignment="1">
      <alignment vertical="center"/>
    </xf>
    <xf numFmtId="0" fontId="14" fillId="0" borderId="9" xfId="0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184" fontId="15" fillId="0" borderId="9" xfId="0" applyNumberFormat="1" applyFont="1" applyFill="1" applyBorder="1" applyAlignment="1">
      <alignment horizontal="center" vertical="center"/>
    </xf>
    <xf numFmtId="4" fontId="15" fillId="0" borderId="9" xfId="0" applyNumberFormat="1" applyFont="1" applyFill="1" applyBorder="1" applyAlignment="1">
      <alignment horizontal="right" vertical="center"/>
    </xf>
    <xf numFmtId="176" fontId="11" fillId="0" borderId="0" xfId="0" applyNumberFormat="1" applyFont="1" applyFill="1" applyBorder="1" applyAlignment="1">
      <alignment vertical="center"/>
    </xf>
    <xf numFmtId="176" fontId="11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horizontal="left" vertical="center"/>
    </xf>
    <xf numFmtId="8" fontId="12" fillId="0" borderId="0" xfId="0" applyNumberFormat="1" applyFont="1" applyFill="1" applyAlignment="1">
      <alignment vertical="center"/>
    </xf>
    <xf numFmtId="176" fontId="14" fillId="0" borderId="0" xfId="0" applyNumberFormat="1" applyFont="1" applyFill="1" applyBorder="1" applyAlignment="1">
      <alignment vertical="center"/>
    </xf>
    <xf numFmtId="176" fontId="14" fillId="0" borderId="0" xfId="0" applyNumberFormat="1" applyFont="1" applyFill="1" applyBorder="1" applyAlignment="1">
      <alignment horizontal="right" vertical="center"/>
    </xf>
    <xf numFmtId="176" fontId="14" fillId="0" borderId="0" xfId="0" applyNumberFormat="1" applyFont="1" applyFill="1" applyAlignment="1">
      <alignment horizontal="right" vertical="center"/>
    </xf>
    <xf numFmtId="176" fontId="14" fillId="0" borderId="9" xfId="0" applyNumberFormat="1" applyFont="1" applyFill="1" applyBorder="1" applyAlignment="1">
      <alignment horizontal="right" vertical="center"/>
    </xf>
    <xf numFmtId="176" fontId="0" fillId="0" borderId="9" xfId="0" applyNumberFormat="1" applyFont="1" applyFill="1" applyBorder="1" applyAlignment="1">
      <alignment horizontal="right" vertical="center"/>
    </xf>
    <xf numFmtId="176" fontId="0" fillId="2" borderId="9" xfId="0" applyNumberFormat="1" applyFont="1" applyFill="1" applyBorder="1" applyAlignment="1">
      <alignment vertical="center"/>
    </xf>
    <xf numFmtId="176" fontId="0" fillId="0" borderId="0" xfId="0" applyNumberFormat="1" applyFont="1" applyFill="1" applyAlignment="1">
      <alignment vertical="center"/>
    </xf>
    <xf numFmtId="176" fontId="0" fillId="0" borderId="9" xfId="0" applyNumberFormat="1" applyFont="1" applyFill="1" applyBorder="1" applyAlignment="1">
      <alignment vertical="center"/>
    </xf>
    <xf numFmtId="10" fontId="0" fillId="2" borderId="9" xfId="3" applyNumberFormat="1" applyFont="1" applyFill="1" applyBorder="1" applyAlignment="1">
      <alignment vertical="center"/>
    </xf>
    <xf numFmtId="8" fontId="12" fillId="0" borderId="0" xfId="0" applyNumberFormat="1" applyFont="1" applyFill="1" applyAlignment="1">
      <alignment horizontal="left" vertical="center"/>
    </xf>
    <xf numFmtId="10" fontId="0" fillId="0" borderId="9" xfId="3" applyNumberFormat="1" applyFont="1" applyFill="1" applyBorder="1" applyAlignment="1">
      <alignment vertical="center"/>
    </xf>
    <xf numFmtId="10" fontId="0" fillId="0" borderId="0" xfId="3" applyNumberFormat="1" applyFont="1" applyFill="1" applyAlignment="1">
      <alignment vertical="center"/>
    </xf>
    <xf numFmtId="185" fontId="12" fillId="0" borderId="0" xfId="0" applyNumberFormat="1" applyFont="1" applyFill="1" applyAlignment="1">
      <alignment horizontal="left" vertical="center"/>
    </xf>
    <xf numFmtId="176" fontId="14" fillId="0" borderId="9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Alignment="1">
      <alignment horizontal="center" vertical="center"/>
    </xf>
    <xf numFmtId="179" fontId="12" fillId="0" borderId="0" xfId="0" applyNumberFormat="1" applyFont="1" applyFill="1" applyAlignment="1">
      <alignment vertical="center"/>
    </xf>
    <xf numFmtId="0" fontId="12" fillId="0" borderId="9" xfId="0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vertical="center"/>
    </xf>
    <xf numFmtId="186" fontId="12" fillId="0" borderId="0" xfId="0" applyNumberFormat="1" applyFont="1" applyFill="1" applyAlignment="1">
      <alignment vertical="center"/>
    </xf>
    <xf numFmtId="0" fontId="12" fillId="0" borderId="9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40" fontId="10" fillId="0" borderId="0" xfId="0" applyNumberFormat="1" applyFont="1" applyAlignment="1">
      <alignment horizontal="center" wrapText="1"/>
    </xf>
    <xf numFmtId="40" fontId="10" fillId="0" borderId="0" xfId="0" applyNumberFormat="1" applyFont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38" fontId="5" fillId="0" borderId="9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40" fontId="5" fillId="6" borderId="9" xfId="0" applyNumberFormat="1" applyFont="1" applyFill="1" applyBorder="1" applyAlignment="1">
      <alignment horizontal="center" vertical="center"/>
    </xf>
    <xf numFmtId="38" fontId="5" fillId="6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7" borderId="9" xfId="0" applyFont="1" applyFill="1" applyBorder="1" applyAlignment="1">
      <alignment horizontal="center" vertical="center"/>
    </xf>
    <xf numFmtId="40" fontId="5" fillId="7" borderId="9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38" fontId="5" fillId="9" borderId="9" xfId="0" applyNumberFormat="1" applyFont="1" applyFill="1" applyBorder="1" applyAlignment="1">
      <alignment horizontal="center" vertical="center"/>
    </xf>
    <xf numFmtId="38" fontId="5" fillId="8" borderId="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87" fontId="1" fillId="2" borderId="9" xfId="0" applyNumberFormat="1" applyFont="1" applyFill="1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188" fontId="1" fillId="0" borderId="9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3" fontId="5" fillId="0" borderId="9" xfId="0" applyNumberFormat="1" applyFont="1" applyFill="1" applyBorder="1" applyAlignment="1">
      <alignment horizontal="center" vertical="center"/>
    </xf>
    <xf numFmtId="10" fontId="5" fillId="5" borderId="9" xfId="0" applyNumberFormat="1" applyFont="1" applyFill="1" applyBorder="1" applyAlignment="1">
      <alignment horizontal="center" vertical="center"/>
    </xf>
    <xf numFmtId="189" fontId="5" fillId="0" borderId="9" xfId="0" applyNumberFormat="1" applyFont="1" applyBorder="1" applyAlignment="1">
      <alignment horizontal="center" vertical="center"/>
    </xf>
    <xf numFmtId="189" fontId="5" fillId="2" borderId="9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0" fontId="5" fillId="2" borderId="15" xfId="0" applyNumberFormat="1" applyFont="1" applyFill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/>
    </xf>
    <xf numFmtId="10" fontId="5" fillId="2" borderId="9" xfId="0" applyNumberFormat="1" applyFont="1" applyFill="1" applyBorder="1" applyAlignment="1">
      <alignment horizontal="center" vertical="center" wrapText="1" readingOrder="1"/>
    </xf>
    <xf numFmtId="178" fontId="5" fillId="0" borderId="17" xfId="0" applyNumberFormat="1" applyFont="1" applyFill="1" applyBorder="1" applyAlignment="1">
      <alignment horizontal="center" vertical="center" wrapText="1"/>
    </xf>
    <xf numFmtId="178" fontId="5" fillId="0" borderId="3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89" fontId="0" fillId="0" borderId="0" xfId="0" applyNumberForma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78" fontId="5" fillId="0" borderId="34" xfId="0" applyNumberFormat="1" applyFont="1" applyBorder="1" applyAlignment="1">
      <alignment horizontal="center" vertical="center" wrapText="1"/>
    </xf>
    <xf numFmtId="178" fontId="5" fillId="0" borderId="16" xfId="0" applyNumberFormat="1" applyFont="1" applyBorder="1" applyAlignment="1">
      <alignment horizontal="center" vertical="center"/>
    </xf>
    <xf numFmtId="178" fontId="5" fillId="0" borderId="16" xfId="0" applyNumberFormat="1" applyFont="1" applyFill="1" applyBorder="1" applyAlignment="1">
      <alignment horizontal="center" vertical="center" wrapText="1"/>
    </xf>
    <xf numFmtId="178" fontId="5" fillId="0" borderId="23" xfId="0" applyNumberFormat="1" applyFont="1" applyBorder="1" applyAlignment="1">
      <alignment horizontal="center" vertical="center" wrapText="1"/>
    </xf>
    <xf numFmtId="178" fontId="5" fillId="0" borderId="9" xfId="0" applyNumberFormat="1" applyFont="1" applyBorder="1" applyAlignment="1">
      <alignment vertical="center" wrapText="1"/>
    </xf>
    <xf numFmtId="178" fontId="5" fillId="0" borderId="9" xfId="0" applyNumberFormat="1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0" fontId="1" fillId="2" borderId="11" xfId="0" applyNumberFormat="1" applyFont="1" applyFill="1" applyBorder="1" applyAlignment="1">
      <alignment horizontal="center" vertical="center"/>
    </xf>
    <xf numFmtId="181" fontId="1" fillId="0" borderId="22" xfId="0" applyNumberFormat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89" fontId="1" fillId="0" borderId="22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7" fillId="0" borderId="0" xfId="0" applyFont="1">
      <alignment vertical="center"/>
    </xf>
    <xf numFmtId="189" fontId="1" fillId="0" borderId="9" xfId="0" applyNumberFormat="1" applyFont="1" applyBorder="1" applyAlignment="1">
      <alignment horizontal="center" vertical="center"/>
    </xf>
    <xf numFmtId="189" fontId="1" fillId="0" borderId="9" xfId="0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176" fontId="19" fillId="2" borderId="23" xfId="0" applyNumberFormat="1" applyFont="1" applyFill="1" applyBorder="1" applyAlignment="1">
      <alignment horizontal="center" vertical="center" wrapText="1"/>
    </xf>
    <xf numFmtId="176" fontId="19" fillId="2" borderId="10" xfId="0" applyNumberFormat="1" applyFont="1" applyFill="1" applyBorder="1" applyAlignment="1">
      <alignment horizontal="center" vertical="center" wrapText="1"/>
    </xf>
    <xf numFmtId="177" fontId="19" fillId="5" borderId="23" xfId="0" applyNumberFormat="1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3" fontId="19" fillId="5" borderId="23" xfId="0" applyNumberFormat="1" applyFont="1" applyFill="1" applyBorder="1" applyAlignment="1">
      <alignment horizontal="center" vertical="center" wrapText="1"/>
    </xf>
    <xf numFmtId="3" fontId="19" fillId="5" borderId="10" xfId="0" applyNumberFormat="1" applyFont="1" applyFill="1" applyBorder="1" applyAlignment="1">
      <alignment horizontal="center" vertical="center" wrapText="1"/>
    </xf>
    <xf numFmtId="0" fontId="19" fillId="9" borderId="23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7" fontId="19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38" fontId="1" fillId="0" borderId="9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90" fontId="0" fillId="2" borderId="9" xfId="0" applyNumberForma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 wrapText="1"/>
    </xf>
    <xf numFmtId="191" fontId="9" fillId="0" borderId="9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8" fontId="19" fillId="0" borderId="9" xfId="0" applyNumberFormat="1" applyFont="1" applyBorder="1" applyAlignment="1">
      <alignment horizontal="center" vertical="center" wrapText="1"/>
    </xf>
    <xf numFmtId="177" fontId="19" fillId="0" borderId="9" xfId="0" applyNumberFormat="1" applyFont="1" applyBorder="1" applyAlignment="1">
      <alignment horizontal="center" vertical="center" wrapText="1"/>
    </xf>
    <xf numFmtId="177" fontId="19" fillId="5" borderId="10" xfId="0" applyNumberFormat="1" applyFont="1" applyFill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8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38" fontId="5" fillId="0" borderId="9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38" fontId="5" fillId="2" borderId="23" xfId="0" applyNumberFormat="1" applyFont="1" applyFill="1" applyBorder="1" applyAlignment="1">
      <alignment horizontal="center" vertical="center" wrapText="1"/>
    </xf>
    <xf numFmtId="38" fontId="5" fillId="2" borderId="1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40"/>
  <sheetViews>
    <sheetView tabSelected="1" workbookViewId="0">
      <selection activeCell="C12" sqref="C12:C23"/>
    </sheetView>
  </sheetViews>
  <sheetFormatPr defaultColWidth="15.625" defaultRowHeight="20.1" customHeight="1"/>
  <cols>
    <col min="7" max="7" width="16.75" customWidth="1"/>
    <col min="9" max="9" width="20.5" customWidth="1"/>
    <col min="10" max="10" width="27.25" customWidth="1"/>
    <col min="11" max="11" width="23" customWidth="1"/>
    <col min="15" max="20" width="15.625" style="41"/>
  </cols>
  <sheetData>
    <row r="2" customHeight="1" spans="2:21">
      <c r="B2" s="281" t="s">
        <v>0</v>
      </c>
      <c r="C2" s="282"/>
      <c r="D2" s="282"/>
      <c r="E2" s="283"/>
      <c r="F2" s="281" t="s">
        <v>1</v>
      </c>
      <c r="G2" s="282"/>
      <c r="H2" s="282"/>
      <c r="I2" s="283"/>
      <c r="J2" s="281" t="s">
        <v>2</v>
      </c>
      <c r="K2" s="282"/>
      <c r="L2" s="282"/>
      <c r="M2" s="283"/>
      <c r="U2" s="41"/>
    </row>
    <row r="3" customHeight="1" spans="2:24">
      <c r="B3" s="284" t="s">
        <v>3</v>
      </c>
      <c r="C3" s="285"/>
      <c r="D3" s="284" t="s">
        <v>4</v>
      </c>
      <c r="E3" s="285"/>
      <c r="F3" s="284" t="s">
        <v>3</v>
      </c>
      <c r="G3" s="285"/>
      <c r="H3" s="284" t="s">
        <v>4</v>
      </c>
      <c r="I3" s="285"/>
      <c r="J3" s="284" t="s">
        <v>3</v>
      </c>
      <c r="K3" s="285"/>
      <c r="L3" s="284" t="s">
        <v>4</v>
      </c>
      <c r="M3" s="285"/>
      <c r="U3" s="41"/>
      <c r="V3" s="41"/>
      <c r="W3" s="41"/>
      <c r="X3" s="41"/>
    </row>
    <row r="4" customHeight="1" spans="2:24">
      <c r="B4" s="286"/>
      <c r="C4" s="287"/>
      <c r="D4" s="288">
        <v>1000</v>
      </c>
      <c r="E4" s="289"/>
      <c r="F4" s="286"/>
      <c r="G4" s="287"/>
      <c r="H4" s="290"/>
      <c r="I4" s="312"/>
      <c r="J4" s="286">
        <v>0</v>
      </c>
      <c r="K4" s="287"/>
      <c r="L4" s="286"/>
      <c r="M4" s="287"/>
      <c r="U4" s="41"/>
      <c r="V4" s="41"/>
      <c r="W4" s="41"/>
      <c r="X4" s="41"/>
    </row>
    <row r="5" customHeight="1" spans="2:24">
      <c r="B5" s="284" t="s">
        <v>5</v>
      </c>
      <c r="C5" s="285"/>
      <c r="D5" s="284" t="s">
        <v>6</v>
      </c>
      <c r="E5" s="285"/>
      <c r="F5" s="284" t="s">
        <v>7</v>
      </c>
      <c r="G5" s="285"/>
      <c r="H5" s="284" t="s">
        <v>6</v>
      </c>
      <c r="I5" s="285"/>
      <c r="J5" s="284" t="s">
        <v>7</v>
      </c>
      <c r="K5" s="285"/>
      <c r="L5" s="284" t="s">
        <v>6</v>
      </c>
      <c r="M5" s="285"/>
      <c r="U5" s="41"/>
      <c r="V5" s="41"/>
      <c r="W5" s="41"/>
      <c r="X5" s="41"/>
    </row>
    <row r="6" customHeight="1" spans="2:24">
      <c r="B6" s="291">
        <v>2000</v>
      </c>
      <c r="C6" s="292"/>
      <c r="D6" s="293">
        <f>D4*B6</f>
        <v>2000000</v>
      </c>
      <c r="E6" s="294"/>
      <c r="F6" s="295">
        <v>0</v>
      </c>
      <c r="G6" s="296"/>
      <c r="H6" s="290">
        <f>F6*F4</f>
        <v>0</v>
      </c>
      <c r="I6" s="312"/>
      <c r="J6" s="286">
        <v>0</v>
      </c>
      <c r="K6" s="287"/>
      <c r="L6" s="290">
        <f>J4*J6</f>
        <v>0</v>
      </c>
      <c r="M6" s="312"/>
      <c r="U6" s="41"/>
      <c r="V6" s="41"/>
      <c r="W6" s="41"/>
      <c r="X6" s="41"/>
    </row>
    <row r="7" customHeight="1" spans="2:24">
      <c r="B7" s="46"/>
      <c r="C7" s="297"/>
      <c r="D7" s="297"/>
      <c r="E7" s="298"/>
      <c r="F7" s="298"/>
      <c r="G7" s="299" t="s">
        <v>8</v>
      </c>
      <c r="H7" s="300">
        <f>D6+H6+L6</f>
        <v>2000000</v>
      </c>
      <c r="I7" s="299" t="s">
        <v>9</v>
      </c>
      <c r="J7" s="298"/>
      <c r="K7" s="297"/>
      <c r="L7" s="297"/>
      <c r="M7" s="298"/>
      <c r="N7" s="298"/>
      <c r="O7" s="302"/>
      <c r="P7" s="303"/>
      <c r="Q7" s="322"/>
      <c r="U7" s="41"/>
      <c r="V7" s="41"/>
      <c r="W7" s="41"/>
      <c r="X7" s="41"/>
    </row>
    <row r="8" customHeight="1" spans="6:24">
      <c r="F8" s="298"/>
      <c r="G8" s="299" t="s">
        <v>10</v>
      </c>
      <c r="H8" s="301">
        <f>D4</f>
        <v>1000</v>
      </c>
      <c r="I8" s="313">
        <v>1</v>
      </c>
      <c r="J8" s="298"/>
      <c r="K8" s="297"/>
      <c r="L8" s="297"/>
      <c r="M8" s="298"/>
      <c r="N8" s="298"/>
      <c r="O8" s="302"/>
      <c r="P8" s="303"/>
      <c r="Q8" s="322"/>
      <c r="U8" s="41"/>
      <c r="V8" s="41"/>
      <c r="W8" s="41"/>
      <c r="X8" s="41"/>
    </row>
    <row r="9" customHeight="1" spans="2:24">
      <c r="B9" s="46"/>
      <c r="C9" s="302"/>
      <c r="D9" s="303"/>
      <c r="E9" s="46"/>
      <c r="F9" s="46"/>
      <c r="J9" s="46"/>
      <c r="K9" s="46"/>
      <c r="L9" s="46"/>
      <c r="M9" s="46"/>
      <c r="N9" s="39"/>
      <c r="O9" s="39"/>
      <c r="P9" s="39"/>
      <c r="Q9" s="39"/>
      <c r="R9"/>
      <c r="U9" s="41"/>
      <c r="V9" s="41"/>
      <c r="W9" s="41"/>
      <c r="X9" s="41"/>
    </row>
    <row r="10" customHeight="1" spans="2:24">
      <c r="B10" s="299" t="s">
        <v>11</v>
      </c>
      <c r="C10" s="299"/>
      <c r="D10" s="299"/>
      <c r="E10" s="299"/>
      <c r="F10" s="299"/>
      <c r="G10" s="299"/>
      <c r="I10" s="314" t="s">
        <v>12</v>
      </c>
      <c r="J10" s="299" t="s">
        <v>13</v>
      </c>
      <c r="K10" s="299"/>
      <c r="L10" s="41"/>
      <c r="M10" s="41"/>
      <c r="R10"/>
      <c r="U10" s="41"/>
      <c r="V10" s="41"/>
      <c r="W10" s="41"/>
      <c r="X10" s="41"/>
    </row>
    <row r="11" customHeight="1" spans="2:24">
      <c r="B11" s="304" t="s">
        <v>14</v>
      </c>
      <c r="C11" s="304" t="s">
        <v>15</v>
      </c>
      <c r="D11" s="304" t="s">
        <v>16</v>
      </c>
      <c r="E11" s="304" t="s">
        <v>17</v>
      </c>
      <c r="F11" s="304" t="s">
        <v>18</v>
      </c>
      <c r="G11" s="304" t="s">
        <v>19</v>
      </c>
      <c r="I11" s="101">
        <f>H7/D4/1000</f>
        <v>2</v>
      </c>
      <c r="J11" s="304" t="s">
        <v>14</v>
      </c>
      <c r="K11" s="304" t="s">
        <v>20</v>
      </c>
      <c r="L11" s="41"/>
      <c r="M11" s="41"/>
      <c r="R11"/>
      <c r="U11" s="41"/>
      <c r="V11" s="41"/>
      <c r="W11" s="41"/>
      <c r="X11" s="41"/>
    </row>
    <row r="12" customHeight="1" spans="2:24">
      <c r="B12" s="220" t="s">
        <v>21</v>
      </c>
      <c r="C12" s="305">
        <v>1.664275</v>
      </c>
      <c r="D12" s="306">
        <v>0.8</v>
      </c>
      <c r="E12" s="306">
        <v>0.95</v>
      </c>
      <c r="F12" s="220">
        <v>31</v>
      </c>
      <c r="G12" s="126">
        <f>C12*D12*E12*F12</f>
        <v>39.210319</v>
      </c>
      <c r="J12" s="220" t="s">
        <v>21</v>
      </c>
      <c r="K12" s="315">
        <f>$H$8*C12*D12*E12*$I$8*F12</f>
        <v>39210.319</v>
      </c>
      <c r="L12" s="41"/>
      <c r="M12" s="41"/>
      <c r="R12"/>
      <c r="U12" s="41"/>
      <c r="V12" s="41"/>
      <c r="W12" s="41"/>
      <c r="X12" s="41"/>
    </row>
    <row r="13" customHeight="1" spans="2:24">
      <c r="B13" s="220" t="s">
        <v>22</v>
      </c>
      <c r="C13" s="305">
        <v>2.34177083333333</v>
      </c>
      <c r="D13" s="306">
        <v>0.8</v>
      </c>
      <c r="E13" s="306">
        <v>0.95</v>
      </c>
      <c r="F13" s="220">
        <v>28</v>
      </c>
      <c r="G13" s="126">
        <f t="shared" ref="G13:G23" si="0">C13*D13*E13*F13</f>
        <v>49.8328833333333</v>
      </c>
      <c r="J13" s="220" t="s">
        <v>22</v>
      </c>
      <c r="K13" s="315">
        <f>$H$8*C13*D13*E13*$I$8*F13</f>
        <v>49832.8833333333</v>
      </c>
      <c r="L13" s="41"/>
      <c r="M13" s="41"/>
      <c r="R13"/>
      <c r="U13" s="41"/>
      <c r="V13" s="41"/>
      <c r="W13" s="41"/>
      <c r="X13" s="41"/>
    </row>
    <row r="14" customHeight="1" spans="2:24">
      <c r="B14" s="220" t="s">
        <v>23</v>
      </c>
      <c r="C14" s="305">
        <v>3.16712083333333</v>
      </c>
      <c r="D14" s="306">
        <v>0.8</v>
      </c>
      <c r="E14" s="306">
        <v>0.95</v>
      </c>
      <c r="F14" s="220">
        <v>31</v>
      </c>
      <c r="G14" s="126">
        <f t="shared" si="0"/>
        <v>74.6173668333333</v>
      </c>
      <c r="J14" s="220" t="s">
        <v>23</v>
      </c>
      <c r="K14" s="315">
        <f t="shared" ref="K14:K23" si="1">$H$8*C14*D14*E14*$I$8*F14</f>
        <v>74617.3668333333</v>
      </c>
      <c r="L14" s="41"/>
      <c r="M14" s="41"/>
      <c r="R14"/>
      <c r="U14" s="41"/>
      <c r="V14" s="41"/>
      <c r="W14" s="41"/>
      <c r="X14" s="41"/>
    </row>
    <row r="15" customHeight="1" spans="2:24">
      <c r="B15" s="220" t="s">
        <v>24</v>
      </c>
      <c r="C15" s="305">
        <v>3.86997083333333</v>
      </c>
      <c r="D15" s="306">
        <v>0.8</v>
      </c>
      <c r="E15" s="306">
        <v>0.95</v>
      </c>
      <c r="F15" s="220">
        <v>30</v>
      </c>
      <c r="G15" s="126">
        <f t="shared" si="0"/>
        <v>88.235335</v>
      </c>
      <c r="H15" s="46"/>
      <c r="I15" s="46"/>
      <c r="J15" s="220" t="s">
        <v>24</v>
      </c>
      <c r="K15" s="315">
        <f t="shared" si="1"/>
        <v>88235.335</v>
      </c>
      <c r="L15" s="41"/>
      <c r="M15" s="41"/>
      <c r="R15"/>
      <c r="U15" s="41"/>
      <c r="V15" s="41"/>
      <c r="W15" s="41"/>
      <c r="X15" s="41"/>
    </row>
    <row r="16" customHeight="1" spans="2:24">
      <c r="B16" s="220" t="s">
        <v>25</v>
      </c>
      <c r="C16" s="305">
        <v>4.0187375</v>
      </c>
      <c r="D16" s="306">
        <v>0.8</v>
      </c>
      <c r="E16" s="306">
        <v>0.95</v>
      </c>
      <c r="F16" s="220">
        <v>31</v>
      </c>
      <c r="G16" s="126">
        <f t="shared" si="0"/>
        <v>94.6814555</v>
      </c>
      <c r="H16" s="46"/>
      <c r="I16" s="46"/>
      <c r="J16" s="220" t="s">
        <v>25</v>
      </c>
      <c r="K16" s="315">
        <f t="shared" si="1"/>
        <v>94681.4555</v>
      </c>
      <c r="L16" s="41"/>
      <c r="M16" s="41"/>
      <c r="R16"/>
      <c r="U16" s="41"/>
      <c r="V16" s="41"/>
      <c r="W16" s="41"/>
      <c r="X16" s="41"/>
    </row>
    <row r="17" customHeight="1" spans="2:24">
      <c r="B17" s="220" t="s">
        <v>26</v>
      </c>
      <c r="C17" s="305">
        <v>3.8155375</v>
      </c>
      <c r="D17" s="306">
        <v>0.8</v>
      </c>
      <c r="E17" s="306">
        <v>0.95</v>
      </c>
      <c r="F17" s="220">
        <v>30</v>
      </c>
      <c r="G17" s="126">
        <f t="shared" si="0"/>
        <v>86.994255</v>
      </c>
      <c r="H17" s="46"/>
      <c r="I17" s="46"/>
      <c r="J17" s="220" t="s">
        <v>26</v>
      </c>
      <c r="K17" s="315">
        <f t="shared" si="1"/>
        <v>86994.255</v>
      </c>
      <c r="L17" s="41"/>
      <c r="M17" s="41"/>
      <c r="R17"/>
      <c r="U17" s="41"/>
      <c r="V17" s="41"/>
      <c r="W17" s="41"/>
      <c r="X17" s="41"/>
    </row>
    <row r="18" customHeight="1" spans="2:24">
      <c r="B18" s="220" t="s">
        <v>27</v>
      </c>
      <c r="C18" s="305">
        <v>5.03984583333333</v>
      </c>
      <c r="D18" s="306">
        <v>0.8</v>
      </c>
      <c r="E18" s="306">
        <v>0.95</v>
      </c>
      <c r="F18" s="220">
        <v>31</v>
      </c>
      <c r="G18" s="126">
        <f t="shared" si="0"/>
        <v>118.738767833333</v>
      </c>
      <c r="H18" s="46"/>
      <c r="I18" s="46"/>
      <c r="J18" s="220" t="s">
        <v>27</v>
      </c>
      <c r="K18" s="315">
        <f t="shared" si="1"/>
        <v>118738.767833333</v>
      </c>
      <c r="L18" s="41"/>
      <c r="M18" s="41"/>
      <c r="R18"/>
      <c r="U18" s="41"/>
      <c r="V18" s="41"/>
      <c r="W18" s="41"/>
      <c r="X18" s="41"/>
    </row>
    <row r="19" customHeight="1" spans="2:24">
      <c r="B19" s="220" t="s">
        <v>28</v>
      </c>
      <c r="C19" s="305">
        <v>4.857025</v>
      </c>
      <c r="D19" s="306">
        <v>0.8</v>
      </c>
      <c r="E19" s="306">
        <v>0.95</v>
      </c>
      <c r="F19" s="220">
        <v>31</v>
      </c>
      <c r="G19" s="126">
        <f t="shared" si="0"/>
        <v>114.431509</v>
      </c>
      <c r="H19" s="46"/>
      <c r="I19" s="46"/>
      <c r="J19" s="220" t="s">
        <v>28</v>
      </c>
      <c r="K19" s="315">
        <f t="shared" si="1"/>
        <v>114431.509</v>
      </c>
      <c r="L19" s="41"/>
      <c r="M19" s="41"/>
      <c r="R19"/>
      <c r="U19" s="41"/>
      <c r="V19" s="41"/>
      <c r="W19" s="41"/>
      <c r="X19" s="41"/>
    </row>
    <row r="20" customHeight="1" spans="2:24">
      <c r="B20" s="220" t="s">
        <v>29</v>
      </c>
      <c r="C20" s="305">
        <v>3.440775</v>
      </c>
      <c r="D20" s="306">
        <v>0.8</v>
      </c>
      <c r="E20" s="306">
        <v>0.95</v>
      </c>
      <c r="F20" s="220">
        <v>30</v>
      </c>
      <c r="G20" s="126">
        <f t="shared" si="0"/>
        <v>78.44967</v>
      </c>
      <c r="H20" s="46"/>
      <c r="I20" s="46"/>
      <c r="J20" s="220" t="s">
        <v>29</v>
      </c>
      <c r="K20" s="315">
        <f t="shared" si="1"/>
        <v>78449.67</v>
      </c>
      <c r="L20" s="41"/>
      <c r="M20" s="41"/>
      <c r="R20"/>
      <c r="U20" s="41"/>
      <c r="V20" s="41"/>
      <c r="W20" s="41"/>
      <c r="X20" s="41"/>
    </row>
    <row r="21" customHeight="1" spans="2:24">
      <c r="B21" s="220" t="s">
        <v>30</v>
      </c>
      <c r="C21" s="305">
        <v>2.15424583333333</v>
      </c>
      <c r="D21" s="306">
        <v>0.8</v>
      </c>
      <c r="E21" s="306">
        <v>0.95</v>
      </c>
      <c r="F21" s="220">
        <v>31</v>
      </c>
      <c r="G21" s="126">
        <f t="shared" si="0"/>
        <v>50.7540318333333</v>
      </c>
      <c r="H21" s="46"/>
      <c r="I21" s="46"/>
      <c r="J21" s="220" t="s">
        <v>30</v>
      </c>
      <c r="K21" s="315">
        <f t="shared" si="1"/>
        <v>50754.0318333333</v>
      </c>
      <c r="L21" s="41"/>
      <c r="M21" s="41"/>
      <c r="R21"/>
      <c r="U21" s="41"/>
      <c r="V21" s="41"/>
      <c r="W21" s="41"/>
      <c r="X21" s="41"/>
    </row>
    <row r="22" customHeight="1" spans="2:24">
      <c r="B22" s="220" t="s">
        <v>31</v>
      </c>
      <c r="C22" s="305">
        <v>1.89087916666667</v>
      </c>
      <c r="D22" s="306">
        <v>0.8</v>
      </c>
      <c r="E22" s="306">
        <v>0.95</v>
      </c>
      <c r="F22" s="220">
        <v>30</v>
      </c>
      <c r="G22" s="126">
        <f t="shared" si="0"/>
        <v>43.112045</v>
      </c>
      <c r="H22" s="46"/>
      <c r="I22" s="46"/>
      <c r="J22" s="220" t="s">
        <v>31</v>
      </c>
      <c r="K22" s="315">
        <f t="shared" si="1"/>
        <v>43112.045</v>
      </c>
      <c r="L22" s="41"/>
      <c r="M22" s="41"/>
      <c r="R22"/>
      <c r="U22" s="41"/>
      <c r="V22" s="41"/>
      <c r="W22" s="41"/>
      <c r="X22" s="41"/>
    </row>
    <row r="23" customHeight="1" spans="2:20">
      <c r="B23" s="220" t="s">
        <v>32</v>
      </c>
      <c r="C23" s="305">
        <v>1.4648625</v>
      </c>
      <c r="D23" s="306">
        <v>0.8</v>
      </c>
      <c r="E23" s="306">
        <v>0.95</v>
      </c>
      <c r="F23" s="220">
        <v>31</v>
      </c>
      <c r="G23" s="126">
        <f t="shared" si="0"/>
        <v>34.5121605</v>
      </c>
      <c r="H23" s="46"/>
      <c r="I23" s="46"/>
      <c r="J23" s="220" t="s">
        <v>32</v>
      </c>
      <c r="K23" s="315">
        <f t="shared" si="1"/>
        <v>34512.1605</v>
      </c>
      <c r="L23" s="41"/>
      <c r="M23" s="41"/>
      <c r="R23"/>
      <c r="S23"/>
      <c r="T23"/>
    </row>
    <row r="24" customHeight="1" spans="2:20">
      <c r="B24" s="220" t="s">
        <v>33</v>
      </c>
      <c r="C24" s="307">
        <f>AVERAGE(C12:C23)</f>
        <v>3.14375381944444</v>
      </c>
      <c r="D24" s="220"/>
      <c r="E24" s="220"/>
      <c r="F24" s="220"/>
      <c r="G24" s="307">
        <f>SUM(G12:G23)</f>
        <v>873.569798833333</v>
      </c>
      <c r="H24" s="46"/>
      <c r="I24" s="46"/>
      <c r="J24" s="316" t="s">
        <v>34</v>
      </c>
      <c r="K24" s="317">
        <f>SUM(K12:K23)</f>
        <v>873569.798833333</v>
      </c>
      <c r="L24" s="41"/>
      <c r="M24" s="41"/>
      <c r="R24"/>
      <c r="S24"/>
      <c r="T24"/>
    </row>
    <row r="25" customHeight="1" spans="2:20">
      <c r="B25" s="303"/>
      <c r="C25" s="303"/>
      <c r="D25" s="303"/>
      <c r="E25" s="303"/>
      <c r="F25" s="303"/>
      <c r="G25" s="303"/>
      <c r="H25" s="303"/>
      <c r="I25" s="303"/>
      <c r="L25" s="41"/>
      <c r="M25" s="41"/>
      <c r="N25" s="39"/>
      <c r="O25" s="39"/>
      <c r="P25" s="39"/>
      <c r="Q25" s="39"/>
      <c r="R25"/>
      <c r="S25"/>
      <c r="T25"/>
    </row>
    <row r="26" ht="24.95" customHeight="1" spans="2:20">
      <c r="B26" s="299" t="s">
        <v>35</v>
      </c>
      <c r="C26" s="299"/>
      <c r="D26" s="299"/>
      <c r="E26" s="299"/>
      <c r="F26" s="299"/>
      <c r="G26" s="299"/>
      <c r="H26" s="299"/>
      <c r="I26" s="318"/>
      <c r="J26" s="299" t="s">
        <v>36</v>
      </c>
      <c r="K26" s="299"/>
      <c r="L26" s="41"/>
      <c r="M26" s="41"/>
      <c r="N26" s="39"/>
      <c r="O26" s="39"/>
      <c r="P26" s="39"/>
      <c r="Q26" s="39"/>
      <c r="R26"/>
      <c r="S26"/>
      <c r="T26"/>
    </row>
    <row r="27" ht="24.95" customHeight="1" spans="2:15">
      <c r="B27" s="308" t="s">
        <v>37</v>
      </c>
      <c r="C27" s="308" t="s">
        <v>20</v>
      </c>
      <c r="D27" s="308" t="s">
        <v>38</v>
      </c>
      <c r="E27" s="308" t="s">
        <v>39</v>
      </c>
      <c r="F27" s="308" t="s">
        <v>40</v>
      </c>
      <c r="G27" s="309" t="s">
        <v>41</v>
      </c>
      <c r="H27" s="308" t="s">
        <v>42</v>
      </c>
      <c r="I27" s="247"/>
      <c r="J27" s="319">
        <f>H7*0.0035</f>
        <v>7000</v>
      </c>
      <c r="K27" s="320"/>
      <c r="L27" s="41"/>
      <c r="M27" s="41"/>
      <c r="N27" s="39"/>
      <c r="O27" s="39"/>
    </row>
    <row r="28" ht="24.95" customHeight="1" spans="2:15">
      <c r="B28" s="308"/>
      <c r="C28" s="308" t="s">
        <v>43</v>
      </c>
      <c r="D28" s="308" t="s">
        <v>44</v>
      </c>
      <c r="E28" s="308" t="s">
        <v>44</v>
      </c>
      <c r="F28" s="308" t="s">
        <v>44</v>
      </c>
      <c r="G28" s="33" t="s">
        <v>44</v>
      </c>
      <c r="H28" s="308" t="s">
        <v>45</v>
      </c>
      <c r="I28" s="247"/>
      <c r="J28" s="281" t="s">
        <v>46</v>
      </c>
      <c r="K28" s="283"/>
      <c r="L28" s="41"/>
      <c r="M28" s="41"/>
      <c r="N28" s="39"/>
      <c r="O28" s="39"/>
    </row>
    <row r="29" ht="24.95" customHeight="1" spans="2:15">
      <c r="B29" s="308" t="s">
        <v>47</v>
      </c>
      <c r="C29" s="310">
        <f>'光伏发电衰减表 输入数据'!D6</f>
        <v>864834.100845</v>
      </c>
      <c r="D29" s="311">
        <f>C29*305/1000/1000</f>
        <v>263.774400757725</v>
      </c>
      <c r="E29" s="311">
        <f>C29*0.814/1000</f>
        <v>703.97495808783</v>
      </c>
      <c r="F29" s="311">
        <f>C29*6.2/1000/1000</f>
        <v>5.361971425239</v>
      </c>
      <c r="G29" s="82">
        <f>C29*2.1/1000/1000</f>
        <v>1.8161516117745</v>
      </c>
      <c r="H29" s="310">
        <f>C29*0.00177</f>
        <v>1530.75635849565</v>
      </c>
      <c r="I29" s="247"/>
      <c r="J29" s="319">
        <f>H8*1000*0.03</f>
        <v>30000</v>
      </c>
      <c r="K29" s="320"/>
      <c r="L29" s="41"/>
      <c r="M29" s="41"/>
      <c r="N29" s="39"/>
      <c r="O29" s="39"/>
    </row>
    <row r="30" ht="24.95" customHeight="1" spans="2:15">
      <c r="B30" s="308" t="s">
        <v>48</v>
      </c>
      <c r="C30" s="310">
        <f>'光伏发电衰减表 输入数据'!D31</f>
        <v>20572568.762525</v>
      </c>
      <c r="D30" s="311">
        <f>C30*305/1000/1000</f>
        <v>6274.63347257013</v>
      </c>
      <c r="E30" s="311">
        <f>C30*0.814/1000</f>
        <v>16746.0709726954</v>
      </c>
      <c r="F30" s="311">
        <f>C30*6.2/1000/1000</f>
        <v>127.549926327655</v>
      </c>
      <c r="G30" s="82">
        <f>C30*2.1/1000/1000</f>
        <v>43.2023944013025</v>
      </c>
      <c r="H30" s="310">
        <f>C30*0.00177</f>
        <v>36413.4467096693</v>
      </c>
      <c r="I30" s="247"/>
      <c r="L30" s="41"/>
      <c r="M30" s="41"/>
      <c r="N30" s="39"/>
      <c r="O30" s="39"/>
    </row>
    <row r="31" ht="24.95" customHeight="1" spans="2:15">
      <c r="B31" s="17"/>
      <c r="C31" s="299" t="s">
        <v>49</v>
      </c>
      <c r="D31" s="299"/>
      <c r="E31" s="299"/>
      <c r="F31" s="299"/>
      <c r="G31" s="299"/>
      <c r="H31" s="297"/>
      <c r="I31" s="247"/>
      <c r="J31" s="247"/>
      <c r="K31" s="247"/>
      <c r="L31" s="247"/>
      <c r="M31" s="247"/>
      <c r="N31" s="39"/>
      <c r="O31" s="39"/>
    </row>
    <row r="32" ht="24.95" customHeight="1" spans="2:19">
      <c r="B32" s="17"/>
      <c r="C32" s="304"/>
      <c r="D32" s="308" t="s">
        <v>50</v>
      </c>
      <c r="E32" s="308" t="s">
        <v>51</v>
      </c>
      <c r="F32" s="308" t="s">
        <v>52</v>
      </c>
      <c r="G32" s="308" t="s">
        <v>53</v>
      </c>
      <c r="H32" s="297"/>
      <c r="I32" s="321"/>
      <c r="J32" s="321"/>
      <c r="K32" s="321"/>
      <c r="L32" s="321"/>
      <c r="M32" s="321"/>
      <c r="N32" s="39"/>
      <c r="O32" s="39"/>
      <c r="P32" s="39"/>
      <c r="Q32" s="39"/>
      <c r="S32" s="323"/>
    </row>
    <row r="33" ht="24.95" customHeight="1" spans="2:19">
      <c r="B33" s="17"/>
      <c r="C33" s="308" t="s">
        <v>54</v>
      </c>
      <c r="D33" s="310">
        <f>C30/25</f>
        <v>822902.750501</v>
      </c>
      <c r="E33" s="311">
        <f>D33*0.814/1000</f>
        <v>669.842838907814</v>
      </c>
      <c r="F33" s="311"/>
      <c r="G33" s="311">
        <f>F33*E33</f>
        <v>0</v>
      </c>
      <c r="H33" s="297"/>
      <c r="I33" s="46"/>
      <c r="J33" s="46"/>
      <c r="K33" s="46"/>
      <c r="L33" s="46"/>
      <c r="M33" s="46"/>
      <c r="N33" s="39"/>
      <c r="O33" s="39"/>
      <c r="P33" s="39"/>
      <c r="Q33" s="39"/>
      <c r="S33" s="323"/>
    </row>
    <row r="34" ht="24.95" customHeight="1" spans="2:19">
      <c r="B34" s="17"/>
      <c r="C34" s="308" t="s">
        <v>48</v>
      </c>
      <c r="D34" s="310">
        <f>D33*25</f>
        <v>20572568.762525</v>
      </c>
      <c r="E34" s="311">
        <f>D34*0.814/1000</f>
        <v>16746.0709726954</v>
      </c>
      <c r="F34" s="311"/>
      <c r="G34" s="311">
        <f>E34*F34</f>
        <v>0</v>
      </c>
      <c r="H34" s="297"/>
      <c r="I34" s="46"/>
      <c r="J34" s="46"/>
      <c r="K34" s="46"/>
      <c r="L34" s="46"/>
      <c r="M34" s="46"/>
      <c r="N34" s="39"/>
      <c r="O34" s="39"/>
      <c r="P34" s="39"/>
      <c r="Q34" s="39"/>
      <c r="S34" s="323"/>
    </row>
    <row r="35" customHeight="1" spans="15:19">
      <c r="O35"/>
      <c r="P35"/>
      <c r="Q35"/>
      <c r="S35" s="323"/>
    </row>
    <row r="36" customHeight="1" spans="15:17">
      <c r="O36"/>
      <c r="P36"/>
      <c r="Q36"/>
    </row>
    <row r="37" customHeight="1" spans="15:17">
      <c r="O37"/>
      <c r="P37"/>
      <c r="Q37"/>
    </row>
    <row r="38" customHeight="1" spans="15:17">
      <c r="O38"/>
      <c r="P38"/>
      <c r="Q38"/>
    </row>
    <row r="39" customHeight="1" spans="15:17">
      <c r="O39"/>
      <c r="P39"/>
      <c r="Q39"/>
    </row>
    <row r="40" customHeight="1" spans="15:17">
      <c r="O40"/>
      <c r="P40"/>
      <c r="Q40"/>
    </row>
  </sheetData>
  <mergeCells count="39">
    <mergeCell ref="B2:E2"/>
    <mergeCell ref="F2:I2"/>
    <mergeCell ref="J2:M2"/>
    <mergeCell ref="B3:C3"/>
    <mergeCell ref="D3:E3"/>
    <mergeCell ref="F3:G3"/>
    <mergeCell ref="H3:I3"/>
    <mergeCell ref="J3:K3"/>
    <mergeCell ref="L3:M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10:G10"/>
    <mergeCell ref="J10:K10"/>
    <mergeCell ref="D24:F24"/>
    <mergeCell ref="B26:H26"/>
    <mergeCell ref="J26:K26"/>
    <mergeCell ref="J27:K27"/>
    <mergeCell ref="J28:K28"/>
    <mergeCell ref="J29:K29"/>
    <mergeCell ref="C31:G31"/>
    <mergeCell ref="B27:B28"/>
    <mergeCell ref="B31:B34"/>
    <mergeCell ref="H31:H34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zoomScale="115" zoomScaleNormal="115" workbookViewId="0">
      <selection activeCell="F31" sqref="F31"/>
    </sheetView>
  </sheetViews>
  <sheetFormatPr defaultColWidth="9" defaultRowHeight="20.1" customHeight="1"/>
  <cols>
    <col min="2" max="2" width="6.375" customWidth="1"/>
    <col min="3" max="3" width="15.5" customWidth="1"/>
    <col min="4" max="4" width="16.875" style="41" customWidth="1"/>
    <col min="5" max="5" width="12.125" style="41" customWidth="1"/>
    <col min="6" max="6" width="18.5" style="41" customWidth="1"/>
    <col min="7" max="7" width="22.875" customWidth="1"/>
    <col min="8" max="8" width="17.25" customWidth="1"/>
    <col min="9" max="9" width="17.625" customWidth="1"/>
    <col min="10" max="10" width="16" customWidth="1"/>
    <col min="11" max="12" width="18.625" style="17" customWidth="1"/>
    <col min="13" max="13" width="16.5" customWidth="1"/>
    <col min="14" max="15" width="17.375" customWidth="1"/>
    <col min="16" max="16" width="20.625" customWidth="1"/>
    <col min="17" max="17" width="28.75" customWidth="1"/>
    <col min="18" max="18" width="18.5" customWidth="1"/>
    <col min="19" max="19" width="11.375" customWidth="1"/>
    <col min="20" max="22" width="9.5" customWidth="1"/>
    <col min="23" max="26" width="16" customWidth="1"/>
    <col min="27" max="29" width="9" customWidth="1"/>
    <col min="30" max="30" width="11.5" customWidth="1"/>
    <col min="31" max="32" width="9" customWidth="1"/>
    <col min="35" max="35" width="9.375"/>
  </cols>
  <sheetData>
    <row r="1" customHeight="1" spans="5:7">
      <c r="E1" s="236"/>
      <c r="F1" s="237"/>
      <c r="G1" s="26"/>
    </row>
    <row r="2" customHeight="1" spans="5:7">
      <c r="E2" s="236"/>
      <c r="F2" s="237"/>
      <c r="G2" s="26"/>
    </row>
    <row r="3" customHeight="1" spans="17:26">
      <c r="Q3" s="17"/>
      <c r="R3" s="79" t="s">
        <v>55</v>
      </c>
      <c r="S3" s="80"/>
      <c r="T3" s="80"/>
      <c r="U3" s="80"/>
      <c r="V3" s="80"/>
      <c r="W3" s="80"/>
      <c r="X3" s="80"/>
      <c r="Y3" s="80"/>
      <c r="Z3" s="34"/>
    </row>
    <row r="4" customHeight="1" spans="1:26">
      <c r="A4" s="39"/>
      <c r="B4" s="238" t="s">
        <v>56</v>
      </c>
      <c r="C4" s="239"/>
      <c r="D4" s="239"/>
      <c r="E4" s="240" t="s">
        <v>57</v>
      </c>
      <c r="F4" s="240" t="s">
        <v>58</v>
      </c>
      <c r="G4" s="241" t="s">
        <v>59</v>
      </c>
      <c r="J4" s="250"/>
      <c r="K4" s="250" t="s">
        <v>60</v>
      </c>
      <c r="P4" s="251"/>
      <c r="Q4" s="17"/>
      <c r="R4" s="61" t="s">
        <v>61</v>
      </c>
      <c r="S4" s="33" t="s">
        <v>62</v>
      </c>
      <c r="T4" s="33" t="s">
        <v>63</v>
      </c>
      <c r="U4" s="33" t="s">
        <v>64</v>
      </c>
      <c r="V4" s="33" t="s">
        <v>65</v>
      </c>
      <c r="W4" s="33" t="s">
        <v>66</v>
      </c>
      <c r="X4" s="33" t="s">
        <v>67</v>
      </c>
      <c r="Y4" s="33" t="s">
        <v>68</v>
      </c>
      <c r="Z4" s="33" t="s">
        <v>69</v>
      </c>
    </row>
    <row r="5" customHeight="1" spans="1:26">
      <c r="A5" s="39"/>
      <c r="B5" s="47" t="s">
        <v>70</v>
      </c>
      <c r="C5" s="47" t="s">
        <v>71</v>
      </c>
      <c r="D5" s="47" t="s">
        <v>50</v>
      </c>
      <c r="E5" s="242">
        <v>0.924</v>
      </c>
      <c r="F5" s="49">
        <f>1-E5</f>
        <v>0.076</v>
      </c>
      <c r="G5" s="50" t="s">
        <v>72</v>
      </c>
      <c r="H5" s="243" t="s">
        <v>73</v>
      </c>
      <c r="I5" s="243" t="s">
        <v>74</v>
      </c>
      <c r="J5" s="252" t="s">
        <v>75</v>
      </c>
      <c r="K5" s="126" t="s">
        <v>76</v>
      </c>
      <c r="L5" s="126" t="s">
        <v>77</v>
      </c>
      <c r="M5" s="126" t="s">
        <v>78</v>
      </c>
      <c r="N5" s="253" t="s">
        <v>79</v>
      </c>
      <c r="O5" s="254" t="s">
        <v>80</v>
      </c>
      <c r="P5" s="41"/>
      <c r="Q5" s="58" t="s">
        <v>81</v>
      </c>
      <c r="R5" s="63"/>
      <c r="S5" s="64">
        <v>1.4506</v>
      </c>
      <c r="T5" s="64">
        <v>1.1659</v>
      </c>
      <c r="U5" s="64">
        <v>0.6973</v>
      </c>
      <c r="V5" s="64" t="s">
        <v>82</v>
      </c>
      <c r="W5" s="33">
        <f>光伏发电衰减表min!P3</f>
        <v>0</v>
      </c>
      <c r="X5" s="33">
        <f>光伏发电衰减表min!Q3</f>
        <v>0</v>
      </c>
      <c r="Y5" s="33">
        <f>光伏发电衰减表min!R3</f>
        <v>0</v>
      </c>
      <c r="Z5" s="33">
        <f>光伏发电衰减表min!S3</f>
        <v>0</v>
      </c>
    </row>
    <row r="6" customHeight="1" spans="1:26">
      <c r="A6" s="39"/>
      <c r="B6" s="47">
        <v>1</v>
      </c>
      <c r="C6" s="244">
        <v>0.99</v>
      </c>
      <c r="D6" s="52">
        <f t="shared" ref="D6:D30" si="0">$Q$12*C6</f>
        <v>864834.100845</v>
      </c>
      <c r="E6" s="53">
        <f>D6*$E$5</f>
        <v>799106.70918078</v>
      </c>
      <c r="F6" s="53">
        <f>D6*$F$5</f>
        <v>65727.39166422</v>
      </c>
      <c r="G6" s="54">
        <f t="shared" ref="G6:G30" si="1">($Q$14*C6*$E$5*$S$10+$Q$14*C6*$F$5*$Q$6+$Q$16*C6*$E$5*$S$19+$Q$16*C6*$F$5*$Q$6)/1.13</f>
        <v>587271.724126817</v>
      </c>
      <c r="H6" s="54">
        <f>$D$35/1.06</f>
        <v>28301.8867924528</v>
      </c>
      <c r="I6" s="54">
        <f>$F$35/1.06</f>
        <v>6603.77358490566</v>
      </c>
      <c r="J6" s="255">
        <f>税金参数!O4</f>
        <v>112485.374987679</v>
      </c>
      <c r="K6" s="152">
        <f>'业主收益（租金、节能收益）'!D5/1.05</f>
        <v>4743.80952380952</v>
      </c>
      <c r="L6" s="54">
        <f>G6*0</f>
        <v>0</v>
      </c>
      <c r="M6" s="152">
        <f>税金参数!R4</f>
        <v>3408.22010868748</v>
      </c>
      <c r="N6" s="256">
        <v>0</v>
      </c>
      <c r="O6" s="257">
        <f>G6-H6-I6-J6-K6-L6-M6</f>
        <v>431728.659129282</v>
      </c>
      <c r="Q6" s="60">
        <v>0.453</v>
      </c>
      <c r="R6" s="61" t="s">
        <v>83</v>
      </c>
      <c r="S6" s="33" t="s">
        <v>62</v>
      </c>
      <c r="T6" s="33" t="s">
        <v>63</v>
      </c>
      <c r="U6" s="33" t="s">
        <v>64</v>
      </c>
      <c r="V6" s="33" t="s">
        <v>65</v>
      </c>
      <c r="W6" s="61"/>
      <c r="X6" s="17"/>
      <c r="Y6" s="17"/>
      <c r="Z6" s="17"/>
    </row>
    <row r="7" customHeight="1" spans="1:26">
      <c r="A7" s="39"/>
      <c r="B7" s="47">
        <v>2</v>
      </c>
      <c r="C7" s="51">
        <f t="shared" ref="C7:C30" si="2">C6-0.004</f>
        <v>0.986</v>
      </c>
      <c r="D7" s="52">
        <f t="shared" si="0"/>
        <v>861339.821649667</v>
      </c>
      <c r="E7" s="53">
        <f>D7*$E$5</f>
        <v>795877.995204292</v>
      </c>
      <c r="F7" s="53">
        <f>D7*$F$5</f>
        <v>65461.8264453746</v>
      </c>
      <c r="G7" s="54">
        <f t="shared" si="1"/>
        <v>584898.90907984</v>
      </c>
      <c r="H7" s="54">
        <f t="shared" ref="H7:H30" si="3">$D$35/1.06</f>
        <v>28301.8867924528</v>
      </c>
      <c r="I7" s="54">
        <f t="shared" ref="I7:I30" si="4">$F$35/1.06</f>
        <v>6603.77358490566</v>
      </c>
      <c r="J7" s="255">
        <f>税金参数!O5</f>
        <v>102387.152583644</v>
      </c>
      <c r="K7" s="152">
        <f>'业主收益（租金、节能收益）'!D6/1.05</f>
        <v>4743.80952380952</v>
      </c>
      <c r="L7" s="54">
        <f t="shared" ref="L7:L30" si="5">G7*0</f>
        <v>0</v>
      </c>
      <c r="M7" s="152">
        <f>税金参数!R5</f>
        <v>7464.21524718262</v>
      </c>
      <c r="N7" s="256">
        <v>0</v>
      </c>
      <c r="O7" s="257">
        <f t="shared" ref="O7:O30" si="6">G7-H7-I7-J7-K7-L7-M7</f>
        <v>435398.071347846</v>
      </c>
      <c r="Q7" s="261" t="s">
        <v>84</v>
      </c>
      <c r="R7" s="63"/>
      <c r="S7" s="262">
        <f>S5+W5+Z5</f>
        <v>1.4506</v>
      </c>
      <c r="T7" s="262">
        <f>T5+X5+Z5</f>
        <v>1.1659</v>
      </c>
      <c r="U7" s="262">
        <f>U5+Y5+Z5</f>
        <v>0.6973</v>
      </c>
      <c r="V7" s="262" t="s">
        <v>82</v>
      </c>
      <c r="W7" s="63"/>
      <c r="X7" s="17"/>
      <c r="Y7" s="17"/>
      <c r="Z7" s="17"/>
    </row>
    <row r="8" customHeight="1" spans="1:26">
      <c r="A8" s="39"/>
      <c r="B8" s="47">
        <v>3</v>
      </c>
      <c r="C8" s="51">
        <f t="shared" si="2"/>
        <v>0.982</v>
      </c>
      <c r="D8" s="52">
        <f t="shared" si="0"/>
        <v>857845.542454333</v>
      </c>
      <c r="E8" s="53">
        <f>D8*$E$5</f>
        <v>792649.281227804</v>
      </c>
      <c r="F8" s="53">
        <f>D8*$F$5</f>
        <v>65196.2612265293</v>
      </c>
      <c r="G8" s="54">
        <f t="shared" si="1"/>
        <v>582526.094032863</v>
      </c>
      <c r="H8" s="54">
        <f t="shared" si="3"/>
        <v>28301.8867924528</v>
      </c>
      <c r="I8" s="54">
        <f t="shared" si="4"/>
        <v>6603.77358490566</v>
      </c>
      <c r="J8" s="255">
        <f>税金参数!O6</f>
        <v>89249.3362748852</v>
      </c>
      <c r="K8" s="152">
        <f>'业主收益（租金、节能收益）'!D7/1.05</f>
        <v>4743.80952380952</v>
      </c>
      <c r="L8" s="54">
        <f t="shared" si="5"/>
        <v>0</v>
      </c>
      <c r="M8" s="152">
        <f>税金参数!R6</f>
        <v>70107.3817577754</v>
      </c>
      <c r="N8" s="256">
        <v>0</v>
      </c>
      <c r="O8" s="257">
        <f t="shared" si="6"/>
        <v>383519.906099034</v>
      </c>
      <c r="Q8" s="263">
        <v>0.8</v>
      </c>
      <c r="R8" s="33"/>
      <c r="S8" s="33" t="s">
        <v>85</v>
      </c>
      <c r="T8" s="33" t="s">
        <v>85</v>
      </c>
      <c r="U8" s="33" t="s">
        <v>85</v>
      </c>
      <c r="V8" s="33" t="s">
        <v>85</v>
      </c>
      <c r="W8" s="33" t="s">
        <v>86</v>
      </c>
      <c r="X8" s="17"/>
      <c r="Y8" s="17"/>
      <c r="Z8" s="17"/>
    </row>
    <row r="9" customHeight="1" spans="1:29">
      <c r="A9" s="39"/>
      <c r="B9" s="47">
        <v>4</v>
      </c>
      <c r="C9" s="51">
        <f t="shared" si="2"/>
        <v>0.978</v>
      </c>
      <c r="D9" s="52">
        <f t="shared" si="0"/>
        <v>854351.263259</v>
      </c>
      <c r="E9" s="53">
        <f>D9*$E$5</f>
        <v>789420.567251316</v>
      </c>
      <c r="F9" s="53">
        <f t="shared" ref="F9" si="7">D9*$F$5</f>
        <v>64930.696007684</v>
      </c>
      <c r="G9" s="54">
        <f t="shared" si="1"/>
        <v>580153.278985886</v>
      </c>
      <c r="H9" s="54">
        <f t="shared" si="3"/>
        <v>28301.8867924528</v>
      </c>
      <c r="I9" s="54">
        <f t="shared" si="4"/>
        <v>6603.77358490566</v>
      </c>
      <c r="J9" s="255">
        <f>税金参数!O7</f>
        <v>75301.2082035246</v>
      </c>
      <c r="K9" s="152">
        <f>'业主收益（租金、节能收益）'!D8/1.05</f>
        <v>4743.80952380952</v>
      </c>
      <c r="L9" s="54">
        <f t="shared" si="5"/>
        <v>0</v>
      </c>
      <c r="M9" s="152">
        <f>税金参数!R7</f>
        <v>150289.206013191</v>
      </c>
      <c r="N9" s="256">
        <v>0</v>
      </c>
      <c r="O9" s="257">
        <f t="shared" si="6"/>
        <v>314913.394868003</v>
      </c>
      <c r="Q9" s="65" t="s">
        <v>87</v>
      </c>
      <c r="R9" s="34"/>
      <c r="S9" s="262">
        <v>0</v>
      </c>
      <c r="T9" s="262">
        <v>5</v>
      </c>
      <c r="U9" s="262">
        <v>4</v>
      </c>
      <c r="V9" s="262">
        <v>0</v>
      </c>
      <c r="W9" s="33">
        <v>9</v>
      </c>
      <c r="X9" s="34" t="s">
        <v>88</v>
      </c>
      <c r="Y9" s="265">
        <f>(S7*S9+T7*T9+U7*U9)/W9</f>
        <v>0.957633333333333</v>
      </c>
      <c r="Z9" s="266"/>
      <c r="AA9" s="266"/>
      <c r="AB9" s="266"/>
      <c r="AC9" s="267"/>
    </row>
    <row r="10" customHeight="1" spans="1:26">
      <c r="A10" s="39"/>
      <c r="B10" s="47">
        <v>5</v>
      </c>
      <c r="C10" s="51">
        <f t="shared" si="2"/>
        <v>0.974</v>
      </c>
      <c r="D10" s="52">
        <f t="shared" si="0"/>
        <v>850856.984063667</v>
      </c>
      <c r="E10" s="53">
        <f t="shared" ref="E10:E30" si="8">D10*$E$5</f>
        <v>786191.853274828</v>
      </c>
      <c r="F10" s="53">
        <f t="shared" ref="F10:F30" si="9">D10*$F$5</f>
        <v>64665.1307888386</v>
      </c>
      <c r="G10" s="54">
        <f t="shared" si="1"/>
        <v>577780.463938909</v>
      </c>
      <c r="H10" s="54">
        <f t="shared" si="3"/>
        <v>28301.8867924528</v>
      </c>
      <c r="I10" s="54">
        <f t="shared" si="4"/>
        <v>6603.77358490566</v>
      </c>
      <c r="J10" s="255">
        <f>税金参数!O8</f>
        <v>60492.7901131168</v>
      </c>
      <c r="K10" s="152">
        <f>'业主收益（租金、节能收益）'!D9/1.05</f>
        <v>4743.80952380952</v>
      </c>
      <c r="L10" s="54">
        <f t="shared" si="5"/>
        <v>0</v>
      </c>
      <c r="M10" s="152">
        <f>税金参数!R8</f>
        <v>93294.7001013361</v>
      </c>
      <c r="N10" s="256">
        <v>0</v>
      </c>
      <c r="O10" s="257">
        <f t="shared" si="6"/>
        <v>384343.503823288</v>
      </c>
      <c r="Q10" s="264">
        <f>(S10*9+S19*3)/12</f>
        <v>0.785086666666667</v>
      </c>
      <c r="R10" s="34" t="s">
        <v>88</v>
      </c>
      <c r="S10" s="265">
        <f>Y9*Q8</f>
        <v>0.766106666666667</v>
      </c>
      <c r="T10" s="266"/>
      <c r="U10" s="266"/>
      <c r="V10" s="266"/>
      <c r="W10" s="267"/>
      <c r="X10" s="17"/>
      <c r="Y10" s="17"/>
      <c r="Z10" s="17"/>
    </row>
    <row r="11" customHeight="1" spans="1:26">
      <c r="A11" s="39"/>
      <c r="B11" s="47">
        <v>6</v>
      </c>
      <c r="C11" s="51">
        <f t="shared" si="2"/>
        <v>0.97</v>
      </c>
      <c r="D11" s="52">
        <f t="shared" si="0"/>
        <v>847362.704868333</v>
      </c>
      <c r="E11" s="53">
        <f t="shared" si="8"/>
        <v>782963.13929834</v>
      </c>
      <c r="F11" s="53">
        <f t="shared" si="9"/>
        <v>64399.5655699933</v>
      </c>
      <c r="G11" s="54">
        <f t="shared" si="1"/>
        <v>575407.648891932</v>
      </c>
      <c r="H11" s="54">
        <f t="shared" si="3"/>
        <v>28301.8867924528</v>
      </c>
      <c r="I11" s="54">
        <f t="shared" si="4"/>
        <v>6603.77358490566</v>
      </c>
      <c r="J11" s="255">
        <f>税金参数!O9</f>
        <v>44771.021197718</v>
      </c>
      <c r="K11" s="152">
        <f>'业主收益（租金、节能收益）'!D10/1.05</f>
        <v>4743.80952380952</v>
      </c>
      <c r="L11" s="54">
        <f t="shared" si="5"/>
        <v>0</v>
      </c>
      <c r="M11" s="152">
        <f>税金参数!R9</f>
        <v>95139.2185452071</v>
      </c>
      <c r="N11" s="256">
        <v>0</v>
      </c>
      <c r="O11" s="257">
        <f t="shared" si="6"/>
        <v>395847.939247839</v>
      </c>
      <c r="Q11" s="70" t="s">
        <v>89</v>
      </c>
      <c r="R11" s="17"/>
      <c r="S11" s="17"/>
      <c r="T11" s="17"/>
      <c r="U11" s="17"/>
      <c r="V11" s="17"/>
      <c r="W11" s="17"/>
      <c r="X11" s="17"/>
      <c r="Y11" s="17"/>
      <c r="Z11" s="17"/>
    </row>
    <row r="12" customHeight="1" spans="1:26">
      <c r="A12" s="39"/>
      <c r="B12" s="47">
        <v>7</v>
      </c>
      <c r="C12" s="51">
        <f t="shared" si="2"/>
        <v>0.966</v>
      </c>
      <c r="D12" s="52">
        <f t="shared" si="0"/>
        <v>843868.425673</v>
      </c>
      <c r="E12" s="53">
        <f t="shared" si="8"/>
        <v>779734.425321852</v>
      </c>
      <c r="F12" s="53">
        <f t="shared" si="9"/>
        <v>64134.000351148</v>
      </c>
      <c r="G12" s="54">
        <f t="shared" si="1"/>
        <v>573034.833844955</v>
      </c>
      <c r="H12" s="54">
        <f t="shared" si="3"/>
        <v>28301.8867924528</v>
      </c>
      <c r="I12" s="54">
        <f t="shared" si="4"/>
        <v>6603.77358490566</v>
      </c>
      <c r="J12" s="255">
        <f>税金参数!O10</f>
        <v>28079.567976978</v>
      </c>
      <c r="K12" s="152">
        <f>'业主收益（租金、节能收益）'!D11/1.05</f>
        <v>4743.80952380952</v>
      </c>
      <c r="L12" s="54">
        <f t="shared" si="5"/>
        <v>0</v>
      </c>
      <c r="M12" s="152">
        <f>税金参数!R10</f>
        <v>96731.5973511341</v>
      </c>
      <c r="N12" s="256">
        <v>0</v>
      </c>
      <c r="O12" s="257">
        <f t="shared" si="6"/>
        <v>408574.198615675</v>
      </c>
      <c r="Q12" s="268">
        <f>Q14+Q16</f>
        <v>873569.798833333</v>
      </c>
      <c r="R12" s="58" t="s">
        <v>90</v>
      </c>
      <c r="S12" s="269"/>
      <c r="T12" s="269"/>
      <c r="U12" s="269"/>
      <c r="V12" s="269"/>
      <c r="W12" s="269"/>
      <c r="X12" s="269"/>
      <c r="Y12" s="269"/>
      <c r="Z12" s="72"/>
    </row>
    <row r="13" customHeight="1" spans="1:26">
      <c r="A13" s="39"/>
      <c r="B13" s="47">
        <v>8</v>
      </c>
      <c r="C13" s="51">
        <f t="shared" si="2"/>
        <v>0.962</v>
      </c>
      <c r="D13" s="52">
        <f t="shared" si="0"/>
        <v>840374.146477667</v>
      </c>
      <c r="E13" s="53">
        <f t="shared" si="8"/>
        <v>776505.711345364</v>
      </c>
      <c r="F13" s="53">
        <f t="shared" si="9"/>
        <v>63868.4351323026</v>
      </c>
      <c r="G13" s="54">
        <f t="shared" si="1"/>
        <v>570662.018797978</v>
      </c>
      <c r="H13" s="54">
        <f t="shared" si="3"/>
        <v>28301.8867924528</v>
      </c>
      <c r="I13" s="54">
        <f t="shared" si="4"/>
        <v>6603.77358490566</v>
      </c>
      <c r="J13" s="255">
        <f>税金参数!O11</f>
        <v>10358.6224447442</v>
      </c>
      <c r="K13" s="152">
        <f>'业主收益（租金、节能收益）'!D12/1.05</f>
        <v>4743.80952380952</v>
      </c>
      <c r="L13" s="54">
        <f t="shared" si="5"/>
        <v>0</v>
      </c>
      <c r="M13" s="152">
        <f>税金参数!R11</f>
        <v>98134.9516900671</v>
      </c>
      <c r="N13" s="256">
        <v>0</v>
      </c>
      <c r="O13" s="257">
        <f t="shared" si="6"/>
        <v>422518.974761999</v>
      </c>
      <c r="Q13" s="70" t="s">
        <v>91</v>
      </c>
      <c r="R13" s="248" t="s">
        <v>61</v>
      </c>
      <c r="S13" s="70" t="s">
        <v>62</v>
      </c>
      <c r="T13" s="70" t="s">
        <v>63</v>
      </c>
      <c r="U13" s="70" t="s">
        <v>64</v>
      </c>
      <c r="V13" s="70" t="s">
        <v>65</v>
      </c>
      <c r="W13" s="70" t="s">
        <v>66</v>
      </c>
      <c r="X13" s="70" t="s">
        <v>67</v>
      </c>
      <c r="Y13" s="70" t="s">
        <v>68</v>
      </c>
      <c r="Z13" s="70" t="s">
        <v>69</v>
      </c>
    </row>
    <row r="14" customHeight="1" spans="1:26">
      <c r="A14" s="39"/>
      <c r="B14" s="47">
        <v>9</v>
      </c>
      <c r="C14" s="51">
        <f t="shared" si="2"/>
        <v>0.958</v>
      </c>
      <c r="D14" s="52">
        <f t="shared" si="0"/>
        <v>836879.867282333</v>
      </c>
      <c r="E14" s="53">
        <f t="shared" si="8"/>
        <v>773276.997368876</v>
      </c>
      <c r="F14" s="53">
        <f t="shared" si="9"/>
        <v>63602.8699134573</v>
      </c>
      <c r="G14" s="54">
        <f t="shared" si="1"/>
        <v>568289.203751001</v>
      </c>
      <c r="H14" s="54">
        <f t="shared" si="3"/>
        <v>28301.8867924528</v>
      </c>
      <c r="I14" s="54">
        <f t="shared" si="4"/>
        <v>6603.77358490566</v>
      </c>
      <c r="J14" s="255">
        <f>税金参数!O12</f>
        <v>0</v>
      </c>
      <c r="K14" s="152">
        <f>'业主收益（租金、节能收益）'!D13/1.05</f>
        <v>4743.80952380952</v>
      </c>
      <c r="L14" s="54">
        <f t="shared" si="5"/>
        <v>0</v>
      </c>
      <c r="M14" s="152">
        <f>税金参数!R12</f>
        <v>94360.2082232494</v>
      </c>
      <c r="N14" s="256">
        <v>0</v>
      </c>
      <c r="O14" s="257">
        <f t="shared" si="6"/>
        <v>434279.525626583</v>
      </c>
      <c r="Q14" s="268">
        <f>R24+R25+R26+R27+R28+R29+R33+R34+R35</f>
        <v>561949.852</v>
      </c>
      <c r="R14" s="270"/>
      <c r="S14" s="271">
        <f>S5</f>
        <v>1.4506</v>
      </c>
      <c r="T14" s="271">
        <f>T5</f>
        <v>1.1659</v>
      </c>
      <c r="U14" s="271">
        <f>U5</f>
        <v>0.6973</v>
      </c>
      <c r="V14" s="271" t="str">
        <f>V5</f>
        <v>忽略</v>
      </c>
      <c r="W14" s="70">
        <f>光伏发电衰减表min!P12</f>
        <v>0</v>
      </c>
      <c r="X14" s="70">
        <f>光伏发电衰减表min!Q12</f>
        <v>0</v>
      </c>
      <c r="Y14" s="70">
        <f>光伏发电衰减表min!R12</f>
        <v>0</v>
      </c>
      <c r="Z14" s="70">
        <f>光伏发电衰减表min!S12</f>
        <v>0</v>
      </c>
    </row>
    <row r="15" customHeight="1" spans="1:26">
      <c r="A15" s="39"/>
      <c r="B15" s="47">
        <v>10</v>
      </c>
      <c r="C15" s="51">
        <f t="shared" si="2"/>
        <v>0.954</v>
      </c>
      <c r="D15" s="52">
        <f t="shared" si="0"/>
        <v>833385.588087</v>
      </c>
      <c r="E15" s="53">
        <f t="shared" si="8"/>
        <v>770048.283392388</v>
      </c>
      <c r="F15" s="53">
        <f t="shared" si="9"/>
        <v>63337.304694612</v>
      </c>
      <c r="G15" s="54">
        <f t="shared" si="1"/>
        <v>565916.388704024</v>
      </c>
      <c r="H15" s="54">
        <f t="shared" si="3"/>
        <v>28301.8867924528</v>
      </c>
      <c r="I15" s="54">
        <f t="shared" si="4"/>
        <v>6603.77358490566</v>
      </c>
      <c r="J15" s="255">
        <f>税金参数!O13</f>
        <v>0</v>
      </c>
      <c r="K15" s="152">
        <f>'业主收益（租金、节能收益）'!D14/1.05</f>
        <v>4743.80952380952</v>
      </c>
      <c r="L15" s="54">
        <f t="shared" si="5"/>
        <v>0</v>
      </c>
      <c r="M15" s="152">
        <f>税金参数!R13</f>
        <v>93915.5189552955</v>
      </c>
      <c r="N15" s="256">
        <v>0</v>
      </c>
      <c r="O15" s="257">
        <f t="shared" si="6"/>
        <v>432351.39984756</v>
      </c>
      <c r="Q15" s="70" t="s">
        <v>92</v>
      </c>
      <c r="R15" s="272" t="s">
        <v>83</v>
      </c>
      <c r="S15" s="63" t="s">
        <v>62</v>
      </c>
      <c r="T15" s="63" t="s">
        <v>63</v>
      </c>
      <c r="U15" s="63" t="s">
        <v>64</v>
      </c>
      <c r="V15" s="63" t="s">
        <v>65</v>
      </c>
      <c r="W15" s="75"/>
      <c r="X15" s="39"/>
      <c r="Y15" s="39"/>
      <c r="Z15" s="39"/>
    </row>
    <row r="16" customHeight="1" spans="1:26">
      <c r="A16" s="39"/>
      <c r="B16" s="47">
        <v>11</v>
      </c>
      <c r="C16" s="51">
        <f t="shared" si="2"/>
        <v>0.95</v>
      </c>
      <c r="D16" s="52">
        <f t="shared" si="0"/>
        <v>829891.308891667</v>
      </c>
      <c r="E16" s="53">
        <f t="shared" si="8"/>
        <v>766819.5694159</v>
      </c>
      <c r="F16" s="53">
        <f t="shared" si="9"/>
        <v>63071.7394757666</v>
      </c>
      <c r="G16" s="54">
        <f t="shared" si="1"/>
        <v>563543.573657047</v>
      </c>
      <c r="H16" s="54">
        <f t="shared" si="3"/>
        <v>28301.8867924528</v>
      </c>
      <c r="I16" s="54">
        <f t="shared" si="4"/>
        <v>6603.77358490566</v>
      </c>
      <c r="J16" s="255">
        <f>税金参数!O14</f>
        <v>0</v>
      </c>
      <c r="K16" s="152">
        <f>'业主收益（租金、节能收益）'!D15/1.05</f>
        <v>4743.80952380952</v>
      </c>
      <c r="L16" s="54">
        <f t="shared" si="5"/>
        <v>0</v>
      </c>
      <c r="M16" s="152">
        <f>税金参数!R14</f>
        <v>101166.800329543</v>
      </c>
      <c r="N16" s="256">
        <v>0</v>
      </c>
      <c r="O16" s="257">
        <f t="shared" si="6"/>
        <v>422727.303426335</v>
      </c>
      <c r="Q16" s="268">
        <f>R30+R31+R32</f>
        <v>311619.946833333</v>
      </c>
      <c r="R16" s="273"/>
      <c r="S16" s="274">
        <f>S14+W14+Z14</f>
        <v>1.4506</v>
      </c>
      <c r="T16" s="274">
        <f>T14+X14+Z14</f>
        <v>1.1659</v>
      </c>
      <c r="U16" s="274">
        <f>U14+Y14+Z14</f>
        <v>0.6973</v>
      </c>
      <c r="V16" s="274" t="s">
        <v>82</v>
      </c>
      <c r="W16" s="77"/>
      <c r="X16" s="39"/>
      <c r="Y16" s="39"/>
      <c r="Z16" s="39"/>
    </row>
    <row r="17" customHeight="1" spans="1:26">
      <c r="A17" s="39"/>
      <c r="B17" s="47">
        <v>12</v>
      </c>
      <c r="C17" s="51">
        <f t="shared" si="2"/>
        <v>0.946</v>
      </c>
      <c r="D17" s="52">
        <f t="shared" si="0"/>
        <v>826397.029696333</v>
      </c>
      <c r="E17" s="53">
        <f t="shared" si="8"/>
        <v>763590.855439412</v>
      </c>
      <c r="F17" s="53">
        <f t="shared" si="9"/>
        <v>62806.1742569213</v>
      </c>
      <c r="G17" s="54">
        <f t="shared" si="1"/>
        <v>561170.75861007</v>
      </c>
      <c r="H17" s="54">
        <f t="shared" si="3"/>
        <v>28301.8867924528</v>
      </c>
      <c r="I17" s="54">
        <f t="shared" si="4"/>
        <v>6603.77358490566</v>
      </c>
      <c r="J17" s="255">
        <f>税金参数!O15</f>
        <v>0</v>
      </c>
      <c r="K17" s="152">
        <f>'业主收益（租金、节能收益）'!D16/1.05</f>
        <v>4743.80952380952</v>
      </c>
      <c r="L17" s="54">
        <f t="shared" si="5"/>
        <v>0</v>
      </c>
      <c r="M17" s="152">
        <f>税金参数!R15</f>
        <v>100722.111061589</v>
      </c>
      <c r="N17" s="256">
        <v>0</v>
      </c>
      <c r="O17" s="257">
        <f t="shared" si="6"/>
        <v>420799.177647312</v>
      </c>
      <c r="Q17" s="39"/>
      <c r="R17" s="33"/>
      <c r="S17" s="33" t="s">
        <v>85</v>
      </c>
      <c r="T17" s="33" t="s">
        <v>85</v>
      </c>
      <c r="U17" s="33" t="s">
        <v>85</v>
      </c>
      <c r="V17" s="33" t="s">
        <v>85</v>
      </c>
      <c r="W17" s="33" t="s">
        <v>86</v>
      </c>
      <c r="X17" s="39"/>
      <c r="Y17" s="39"/>
      <c r="Z17" s="39"/>
    </row>
    <row r="18" customHeight="1" spans="1:29">
      <c r="A18" s="39"/>
      <c r="B18" s="47">
        <v>13</v>
      </c>
      <c r="C18" s="51">
        <f t="shared" si="2"/>
        <v>0.942</v>
      </c>
      <c r="D18" s="52">
        <f t="shared" si="0"/>
        <v>822902.750501</v>
      </c>
      <c r="E18" s="53">
        <f t="shared" si="8"/>
        <v>760362.141462924</v>
      </c>
      <c r="F18" s="53">
        <f t="shared" si="9"/>
        <v>62540.609038076</v>
      </c>
      <c r="G18" s="54">
        <f t="shared" si="1"/>
        <v>558797.943563092</v>
      </c>
      <c r="H18" s="54">
        <f t="shared" si="3"/>
        <v>28301.8867924528</v>
      </c>
      <c r="I18" s="54">
        <f t="shared" si="4"/>
        <v>6603.77358490566</v>
      </c>
      <c r="J18" s="255">
        <f>税金参数!O16</f>
        <v>0</v>
      </c>
      <c r="K18" s="152">
        <f>'业主收益（租金、节能收益）'!D17/1.05</f>
        <v>4743.80952380952</v>
      </c>
      <c r="L18" s="54">
        <f t="shared" si="5"/>
        <v>0</v>
      </c>
      <c r="M18" s="152">
        <f>税金参数!R16</f>
        <v>100277.421793635</v>
      </c>
      <c r="N18" s="256">
        <v>0</v>
      </c>
      <c r="O18" s="257">
        <f t="shared" si="6"/>
        <v>418871.051868289</v>
      </c>
      <c r="Q18" s="39"/>
      <c r="R18" s="33"/>
      <c r="S18" s="262">
        <v>3</v>
      </c>
      <c r="T18" s="262">
        <v>2</v>
      </c>
      <c r="U18" s="262">
        <v>4</v>
      </c>
      <c r="V18" s="262">
        <v>0</v>
      </c>
      <c r="W18" s="33">
        <v>9</v>
      </c>
      <c r="X18" s="33" t="s">
        <v>88</v>
      </c>
      <c r="Y18" s="265">
        <f>(S16*S18+T16*T18+U16*U18)/W18</f>
        <v>1.05253333333333</v>
      </c>
      <c r="Z18" s="266"/>
      <c r="AA18" s="266"/>
      <c r="AB18" s="266"/>
      <c r="AC18" s="267"/>
    </row>
    <row r="19" customHeight="1" spans="1:26">
      <c r="A19" s="39"/>
      <c r="B19" s="47">
        <v>14</v>
      </c>
      <c r="C19" s="51">
        <f t="shared" si="2"/>
        <v>0.938</v>
      </c>
      <c r="D19" s="52">
        <f t="shared" si="0"/>
        <v>819408.471305667</v>
      </c>
      <c r="E19" s="53">
        <f t="shared" si="8"/>
        <v>757133.427486436</v>
      </c>
      <c r="F19" s="53">
        <f t="shared" si="9"/>
        <v>62275.0438192306</v>
      </c>
      <c r="G19" s="54">
        <f t="shared" si="1"/>
        <v>556425.128516116</v>
      </c>
      <c r="H19" s="54">
        <f t="shared" si="3"/>
        <v>28301.8867924528</v>
      </c>
      <c r="I19" s="54">
        <f t="shared" si="4"/>
        <v>6603.77358490566</v>
      </c>
      <c r="J19" s="255">
        <f>税金参数!O17</f>
        <v>0</v>
      </c>
      <c r="K19" s="152">
        <f>'业主收益（租金、节能收益）'!D18/1.05</f>
        <v>4743.80952380952</v>
      </c>
      <c r="L19" s="54">
        <f t="shared" si="5"/>
        <v>0</v>
      </c>
      <c r="M19" s="152">
        <f>税金参数!R17</f>
        <v>99832.7325256814</v>
      </c>
      <c r="N19" s="256">
        <v>0</v>
      </c>
      <c r="O19" s="257">
        <f t="shared" si="6"/>
        <v>416942.926089266</v>
      </c>
      <c r="Q19" s="39"/>
      <c r="R19" s="33" t="s">
        <v>88</v>
      </c>
      <c r="S19" s="265">
        <f>Y18*Q8</f>
        <v>0.842026666666667</v>
      </c>
      <c r="T19" s="266"/>
      <c r="U19" s="266"/>
      <c r="V19" s="266"/>
      <c r="W19" s="267"/>
      <c r="X19" s="39"/>
      <c r="Y19" s="39"/>
      <c r="Z19" s="39"/>
    </row>
    <row r="20" customHeight="1" spans="1:26">
      <c r="A20" s="39"/>
      <c r="B20" s="47">
        <v>15</v>
      </c>
      <c r="C20" s="51">
        <f t="shared" si="2"/>
        <v>0.934</v>
      </c>
      <c r="D20" s="52">
        <f t="shared" si="0"/>
        <v>815914.192110333</v>
      </c>
      <c r="E20" s="53">
        <f t="shared" si="8"/>
        <v>753904.713509948</v>
      </c>
      <c r="F20" s="53">
        <f t="shared" si="9"/>
        <v>62009.4786003853</v>
      </c>
      <c r="G20" s="54">
        <f t="shared" si="1"/>
        <v>554052.313469138</v>
      </c>
      <c r="H20" s="54">
        <f t="shared" si="3"/>
        <v>28301.8867924528</v>
      </c>
      <c r="I20" s="54">
        <f t="shared" si="4"/>
        <v>6603.77358490566</v>
      </c>
      <c r="J20" s="255">
        <f>税金参数!O18</f>
        <v>0</v>
      </c>
      <c r="K20" s="152">
        <f>'业主收益（租金、节能收益）'!D19/1.05</f>
        <v>4743.80952380952</v>
      </c>
      <c r="L20" s="54">
        <f t="shared" si="5"/>
        <v>0</v>
      </c>
      <c r="M20" s="152">
        <f>税金参数!R18</f>
        <v>99388.0432577274</v>
      </c>
      <c r="N20" s="256">
        <v>0</v>
      </c>
      <c r="O20" s="257">
        <f t="shared" si="6"/>
        <v>415014.800310243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customHeight="1" spans="1:26">
      <c r="A21" s="39"/>
      <c r="B21" s="47">
        <v>16</v>
      </c>
      <c r="C21" s="51">
        <f t="shared" si="2"/>
        <v>0.93</v>
      </c>
      <c r="D21" s="52">
        <f t="shared" si="0"/>
        <v>812419.912915</v>
      </c>
      <c r="E21" s="53">
        <f t="shared" si="8"/>
        <v>750675.99953346</v>
      </c>
      <c r="F21" s="53">
        <f t="shared" si="9"/>
        <v>61743.91338154</v>
      </c>
      <c r="G21" s="54">
        <f t="shared" si="1"/>
        <v>551679.498422161</v>
      </c>
      <c r="H21" s="54">
        <f t="shared" si="3"/>
        <v>28301.8867924528</v>
      </c>
      <c r="I21" s="54">
        <f t="shared" si="4"/>
        <v>6603.77358490566</v>
      </c>
      <c r="J21" s="255">
        <f>税金参数!O19</f>
        <v>0</v>
      </c>
      <c r="K21" s="152">
        <f>'业主收益（租金、节能收益）'!D20/1.05</f>
        <v>4743.80952380952</v>
      </c>
      <c r="L21" s="54">
        <f t="shared" si="5"/>
        <v>0</v>
      </c>
      <c r="M21" s="152">
        <f>税金参数!R19</f>
        <v>98943.3539897735</v>
      </c>
      <c r="N21" s="256">
        <v>0</v>
      </c>
      <c r="O21" s="257">
        <f t="shared" si="6"/>
        <v>413086.67453122</v>
      </c>
      <c r="T21" s="39"/>
      <c r="V21" s="39"/>
      <c r="W21" s="39"/>
      <c r="X21" s="39"/>
      <c r="Y21" s="39"/>
      <c r="Z21" s="39"/>
    </row>
    <row r="22" customHeight="1" spans="1:26">
      <c r="A22" s="39"/>
      <c r="B22" s="47">
        <v>17</v>
      </c>
      <c r="C22" s="51">
        <f t="shared" si="2"/>
        <v>0.926</v>
      </c>
      <c r="D22" s="52">
        <f t="shared" si="0"/>
        <v>808925.633719667</v>
      </c>
      <c r="E22" s="53">
        <f t="shared" si="8"/>
        <v>747447.285556972</v>
      </c>
      <c r="F22" s="53">
        <f t="shared" si="9"/>
        <v>61478.3481626946</v>
      </c>
      <c r="G22" s="54">
        <f t="shared" si="1"/>
        <v>549306.683375184</v>
      </c>
      <c r="H22" s="54">
        <f t="shared" si="3"/>
        <v>28301.8867924528</v>
      </c>
      <c r="I22" s="54">
        <f t="shared" si="4"/>
        <v>6603.77358490566</v>
      </c>
      <c r="J22" s="255">
        <f>税金参数!O20</f>
        <v>0</v>
      </c>
      <c r="K22" s="152">
        <f>'业主收益（租金、节能收益）'!D21/1.05</f>
        <v>4743.80952380952</v>
      </c>
      <c r="L22" s="54">
        <f t="shared" si="5"/>
        <v>0</v>
      </c>
      <c r="M22" s="152">
        <f>税金参数!R20</f>
        <v>98498.6647218195</v>
      </c>
      <c r="N22" s="256">
        <v>0</v>
      </c>
      <c r="O22" s="257">
        <f t="shared" si="6"/>
        <v>411158.548752197</v>
      </c>
      <c r="Q22" s="146" t="s">
        <v>13</v>
      </c>
      <c r="R22" s="146"/>
      <c r="T22" s="275" t="s">
        <v>93</v>
      </c>
      <c r="U22" s="276"/>
      <c r="V22" s="276"/>
      <c r="W22" s="277"/>
      <c r="X22" s="278" t="s">
        <v>94</v>
      </c>
      <c r="Y22" s="39"/>
      <c r="Z22" s="39"/>
    </row>
    <row r="23" customHeight="1" spans="1:26">
      <c r="A23" s="39"/>
      <c r="B23" s="47">
        <v>18</v>
      </c>
      <c r="C23" s="51">
        <f t="shared" si="2"/>
        <v>0.922</v>
      </c>
      <c r="D23" s="52">
        <f t="shared" si="0"/>
        <v>805431.354524333</v>
      </c>
      <c r="E23" s="53">
        <f t="shared" si="8"/>
        <v>744218.571580484</v>
      </c>
      <c r="F23" s="53">
        <f t="shared" si="9"/>
        <v>61212.7829438493</v>
      </c>
      <c r="G23" s="54">
        <f t="shared" si="1"/>
        <v>546933.868328207</v>
      </c>
      <c r="H23" s="54">
        <f t="shared" si="3"/>
        <v>28301.8867924528</v>
      </c>
      <c r="I23" s="54">
        <f t="shared" si="4"/>
        <v>6603.77358490566</v>
      </c>
      <c r="J23" s="255">
        <f>税金参数!O21</f>
        <v>0</v>
      </c>
      <c r="K23" s="152">
        <f>'业主收益（租金、节能收益）'!D22/1.05</f>
        <v>4743.80952380952</v>
      </c>
      <c r="L23" s="54">
        <f t="shared" si="5"/>
        <v>0</v>
      </c>
      <c r="M23" s="152">
        <f>税金参数!R21</f>
        <v>98053.9754538656</v>
      </c>
      <c r="N23" s="256">
        <v>0</v>
      </c>
      <c r="O23" s="257">
        <f t="shared" si="6"/>
        <v>409230.422973174</v>
      </c>
      <c r="Q23" s="33" t="s">
        <v>14</v>
      </c>
      <c r="R23" s="33" t="s">
        <v>95</v>
      </c>
      <c r="T23" s="79" t="s">
        <v>14</v>
      </c>
      <c r="U23" s="34"/>
      <c r="V23" s="79" t="s">
        <v>95</v>
      </c>
      <c r="W23" s="34"/>
      <c r="X23" s="39"/>
      <c r="Y23" s="39"/>
      <c r="Z23" s="39"/>
    </row>
    <row r="24" customHeight="1" spans="1:26">
      <c r="A24" s="39"/>
      <c r="B24" s="47">
        <v>19</v>
      </c>
      <c r="C24" s="51">
        <f t="shared" si="2"/>
        <v>0.918</v>
      </c>
      <c r="D24" s="52">
        <f t="shared" si="0"/>
        <v>801937.075329</v>
      </c>
      <c r="E24" s="53">
        <f t="shared" si="8"/>
        <v>740989.857603996</v>
      </c>
      <c r="F24" s="53">
        <f t="shared" si="9"/>
        <v>60947.217725004</v>
      </c>
      <c r="G24" s="54">
        <f t="shared" si="1"/>
        <v>544561.05328123</v>
      </c>
      <c r="H24" s="54">
        <f t="shared" si="3"/>
        <v>28301.8867924528</v>
      </c>
      <c r="I24" s="54">
        <f t="shared" si="4"/>
        <v>6603.77358490566</v>
      </c>
      <c r="J24" s="255">
        <f>税金参数!O22</f>
        <v>0</v>
      </c>
      <c r="K24" s="152">
        <f>'业主收益（租金、节能收益）'!D23/1.05</f>
        <v>4743.80952380952</v>
      </c>
      <c r="L24" s="54">
        <f t="shared" si="5"/>
        <v>0</v>
      </c>
      <c r="M24" s="152">
        <f>税金参数!R22</f>
        <v>97609.2861859116</v>
      </c>
      <c r="N24" s="256">
        <v>0</v>
      </c>
      <c r="O24" s="257">
        <f t="shared" si="6"/>
        <v>407302.297194151</v>
      </c>
      <c r="Q24" s="33" t="s">
        <v>21</v>
      </c>
      <c r="R24" s="279">
        <f>基础数据!K12</f>
        <v>39210.319</v>
      </c>
      <c r="T24" s="33" t="s">
        <v>21</v>
      </c>
      <c r="U24" s="33"/>
      <c r="V24" s="279">
        <f>R24*0.99</f>
        <v>38818.21581</v>
      </c>
      <c r="W24" s="279"/>
      <c r="X24" s="39"/>
      <c r="Y24" s="39"/>
      <c r="Z24" s="39"/>
    </row>
    <row r="25" customHeight="1" spans="1:26">
      <c r="A25" s="39"/>
      <c r="B25" s="47">
        <v>20</v>
      </c>
      <c r="C25" s="51">
        <f t="shared" si="2"/>
        <v>0.914</v>
      </c>
      <c r="D25" s="52">
        <f t="shared" si="0"/>
        <v>798442.796133667</v>
      </c>
      <c r="E25" s="53">
        <f t="shared" si="8"/>
        <v>737761.143627508</v>
      </c>
      <c r="F25" s="53">
        <f t="shared" si="9"/>
        <v>60681.6525061586</v>
      </c>
      <c r="G25" s="54">
        <f t="shared" si="1"/>
        <v>542188.238234253</v>
      </c>
      <c r="H25" s="54">
        <f t="shared" si="3"/>
        <v>28301.8867924528</v>
      </c>
      <c r="I25" s="54">
        <f t="shared" si="4"/>
        <v>6603.77358490566</v>
      </c>
      <c r="J25" s="255">
        <f>税金参数!O23</f>
        <v>0</v>
      </c>
      <c r="K25" s="152">
        <f>'业主收益（租金、节能收益）'!D24/1.05</f>
        <v>4743.80952380952</v>
      </c>
      <c r="L25" s="54">
        <f t="shared" si="5"/>
        <v>0</v>
      </c>
      <c r="M25" s="152">
        <f>税金参数!R23</f>
        <v>97164.5969179576</v>
      </c>
      <c r="N25" s="256">
        <v>0</v>
      </c>
      <c r="O25" s="257">
        <f t="shared" si="6"/>
        <v>405374.171415128</v>
      </c>
      <c r="Q25" s="33" t="s">
        <v>22</v>
      </c>
      <c r="R25" s="279">
        <f>基础数据!K13</f>
        <v>49832.8833333333</v>
      </c>
      <c r="T25" s="33" t="s">
        <v>22</v>
      </c>
      <c r="U25" s="33"/>
      <c r="V25" s="279">
        <f t="shared" ref="V25:V35" si="10">R25*0.99</f>
        <v>49334.5545</v>
      </c>
      <c r="W25" s="279"/>
      <c r="X25" s="39"/>
      <c r="Y25" s="39"/>
      <c r="Z25" s="39"/>
    </row>
    <row r="26" customHeight="1" spans="1:26">
      <c r="A26" s="39"/>
      <c r="B26" s="47">
        <v>21</v>
      </c>
      <c r="C26" s="51">
        <f t="shared" si="2"/>
        <v>0.91</v>
      </c>
      <c r="D26" s="52">
        <f t="shared" si="0"/>
        <v>794948.516938333</v>
      </c>
      <c r="E26" s="53">
        <f t="shared" si="8"/>
        <v>734532.42965102</v>
      </c>
      <c r="F26" s="53">
        <f t="shared" si="9"/>
        <v>60416.0872873133</v>
      </c>
      <c r="G26" s="54">
        <f t="shared" si="1"/>
        <v>539815.423187276</v>
      </c>
      <c r="H26" s="54">
        <f t="shared" si="3"/>
        <v>28301.8867924528</v>
      </c>
      <c r="I26" s="54">
        <f t="shared" si="4"/>
        <v>6603.77358490566</v>
      </c>
      <c r="J26" s="255">
        <f>税金参数!O24</f>
        <v>0</v>
      </c>
      <c r="K26" s="152">
        <f>'业主收益（租金、节能收益）'!D25/1.05</f>
        <v>4743.80952380952</v>
      </c>
      <c r="L26" s="54">
        <f t="shared" si="5"/>
        <v>0</v>
      </c>
      <c r="M26" s="152">
        <f>税金参数!R24</f>
        <v>96719.9076500037</v>
      </c>
      <c r="N26" s="256">
        <v>0</v>
      </c>
      <c r="O26" s="257">
        <f t="shared" si="6"/>
        <v>403446.045636105</v>
      </c>
      <c r="Q26" s="33" t="s">
        <v>23</v>
      </c>
      <c r="R26" s="279">
        <f>基础数据!K14</f>
        <v>74617.3668333333</v>
      </c>
      <c r="T26" s="33" t="s">
        <v>23</v>
      </c>
      <c r="U26" s="33"/>
      <c r="V26" s="279">
        <f t="shared" si="10"/>
        <v>73871.193165</v>
      </c>
      <c r="W26" s="279"/>
      <c r="X26" s="39"/>
      <c r="Y26" s="39"/>
      <c r="Z26" s="39"/>
    </row>
    <row r="27" customHeight="1" spans="1:26">
      <c r="A27" s="39"/>
      <c r="B27" s="47">
        <v>22</v>
      </c>
      <c r="C27" s="51">
        <f t="shared" si="2"/>
        <v>0.906</v>
      </c>
      <c r="D27" s="52">
        <f t="shared" si="0"/>
        <v>791454.237743</v>
      </c>
      <c r="E27" s="53">
        <f t="shared" si="8"/>
        <v>731303.715674532</v>
      </c>
      <c r="F27" s="53">
        <f t="shared" si="9"/>
        <v>60150.522068468</v>
      </c>
      <c r="G27" s="54">
        <f t="shared" si="1"/>
        <v>537442.608140299</v>
      </c>
      <c r="H27" s="54">
        <f t="shared" si="3"/>
        <v>28301.8867924528</v>
      </c>
      <c r="I27" s="54">
        <f t="shared" si="4"/>
        <v>6603.77358490566</v>
      </c>
      <c r="J27" s="255">
        <f>税金参数!O25</f>
        <v>0</v>
      </c>
      <c r="K27" s="152">
        <f>'业主收益（租金、节能收益）'!D26/1.05</f>
        <v>4743.80952380952</v>
      </c>
      <c r="L27" s="54">
        <f t="shared" si="5"/>
        <v>0</v>
      </c>
      <c r="M27" s="152">
        <f>税金参数!R25</f>
        <v>96275.2183820497</v>
      </c>
      <c r="N27" s="256">
        <v>0</v>
      </c>
      <c r="O27" s="257">
        <f t="shared" si="6"/>
        <v>401517.919857082</v>
      </c>
      <c r="Q27" s="33" t="s">
        <v>24</v>
      </c>
      <c r="R27" s="279">
        <f>基础数据!K15</f>
        <v>88235.335</v>
      </c>
      <c r="T27" s="33" t="s">
        <v>24</v>
      </c>
      <c r="U27" s="33"/>
      <c r="V27" s="279">
        <f t="shared" si="10"/>
        <v>87352.98165</v>
      </c>
      <c r="W27" s="279"/>
      <c r="X27" s="39"/>
      <c r="Y27" s="39"/>
      <c r="Z27" s="39"/>
    </row>
    <row r="28" customHeight="1" spans="1:26">
      <c r="A28" s="39"/>
      <c r="B28" s="47">
        <v>23</v>
      </c>
      <c r="C28" s="51">
        <f t="shared" si="2"/>
        <v>0.902</v>
      </c>
      <c r="D28" s="52">
        <f t="shared" si="0"/>
        <v>787959.958547667</v>
      </c>
      <c r="E28" s="53">
        <f t="shared" si="8"/>
        <v>728075.001698044</v>
      </c>
      <c r="F28" s="53">
        <f t="shared" si="9"/>
        <v>59884.9568496226</v>
      </c>
      <c r="G28" s="54">
        <f t="shared" si="1"/>
        <v>535069.793093322</v>
      </c>
      <c r="H28" s="54">
        <f t="shared" si="3"/>
        <v>28301.8867924528</v>
      </c>
      <c r="I28" s="54">
        <f t="shared" si="4"/>
        <v>6603.77358490566</v>
      </c>
      <c r="J28" s="255">
        <f>税金参数!O26</f>
        <v>0</v>
      </c>
      <c r="K28" s="152">
        <f>'业主收益（租金、节能收益）'!D27/1.05</f>
        <v>4743.80952380952</v>
      </c>
      <c r="L28" s="54">
        <f t="shared" si="5"/>
        <v>0</v>
      </c>
      <c r="M28" s="152">
        <f>税金参数!R26</f>
        <v>95830.5291140957</v>
      </c>
      <c r="N28" s="256">
        <v>0</v>
      </c>
      <c r="O28" s="257">
        <f t="shared" si="6"/>
        <v>399589.794078058</v>
      </c>
      <c r="Q28" s="33" t="s">
        <v>25</v>
      </c>
      <c r="R28" s="279">
        <f>基础数据!K16</f>
        <v>94681.4555</v>
      </c>
      <c r="T28" s="33" t="s">
        <v>25</v>
      </c>
      <c r="U28" s="33"/>
      <c r="V28" s="279">
        <f t="shared" si="10"/>
        <v>93734.640945</v>
      </c>
      <c r="W28" s="279"/>
      <c r="X28" s="39"/>
      <c r="Y28" s="39"/>
      <c r="Z28" s="39"/>
    </row>
    <row r="29" customHeight="1" spans="1:26">
      <c r="A29" s="39"/>
      <c r="B29" s="47">
        <v>24</v>
      </c>
      <c r="C29" s="51">
        <f t="shared" si="2"/>
        <v>0.898</v>
      </c>
      <c r="D29" s="52">
        <f t="shared" si="0"/>
        <v>784465.679352333</v>
      </c>
      <c r="E29" s="53">
        <f t="shared" si="8"/>
        <v>724846.287721556</v>
      </c>
      <c r="F29" s="53">
        <f t="shared" si="9"/>
        <v>59619.3916307773</v>
      </c>
      <c r="G29" s="54">
        <f t="shared" si="1"/>
        <v>532696.978046345</v>
      </c>
      <c r="H29" s="54">
        <f t="shared" si="3"/>
        <v>28301.8867924528</v>
      </c>
      <c r="I29" s="54">
        <f t="shared" si="4"/>
        <v>6603.77358490566</v>
      </c>
      <c r="J29" s="255">
        <f>税金参数!O27</f>
        <v>0</v>
      </c>
      <c r="K29" s="152">
        <f>'业主收益（租金、节能收益）'!D28/1.05</f>
        <v>4743.80952380952</v>
      </c>
      <c r="L29" s="54">
        <f t="shared" si="5"/>
        <v>0</v>
      </c>
      <c r="M29" s="152">
        <f>税金参数!R27</f>
        <v>95385.8398461418</v>
      </c>
      <c r="N29" s="256">
        <v>0</v>
      </c>
      <c r="O29" s="257">
        <f t="shared" si="6"/>
        <v>397661.668299035</v>
      </c>
      <c r="Q29" s="33" t="s">
        <v>26</v>
      </c>
      <c r="R29" s="279">
        <f>基础数据!K17</f>
        <v>86994.255</v>
      </c>
      <c r="T29" s="33" t="s">
        <v>26</v>
      </c>
      <c r="U29" s="33"/>
      <c r="V29" s="279">
        <f t="shared" si="10"/>
        <v>86124.31245</v>
      </c>
      <c r="W29" s="279"/>
      <c r="X29" s="39"/>
      <c r="Y29" s="39"/>
      <c r="Z29" s="39"/>
    </row>
    <row r="30" customHeight="1" spans="1:26">
      <c r="A30" s="39"/>
      <c r="B30" s="47">
        <v>25</v>
      </c>
      <c r="C30" s="51">
        <f t="shared" si="2"/>
        <v>0.894</v>
      </c>
      <c r="D30" s="52">
        <f t="shared" si="0"/>
        <v>780971.400157</v>
      </c>
      <c r="E30" s="53">
        <f t="shared" si="8"/>
        <v>721617.573745068</v>
      </c>
      <c r="F30" s="53">
        <f t="shared" si="9"/>
        <v>59353.826411932</v>
      </c>
      <c r="G30" s="54">
        <f t="shared" si="1"/>
        <v>530324.162999368</v>
      </c>
      <c r="H30" s="54">
        <f t="shared" si="3"/>
        <v>28301.8867924528</v>
      </c>
      <c r="I30" s="54">
        <f t="shared" si="4"/>
        <v>6603.77358490566</v>
      </c>
      <c r="J30" s="255">
        <f>税金参数!O28</f>
        <v>0</v>
      </c>
      <c r="K30" s="152">
        <f>'业主收益（租金、节能收益）'!D29/1.05</f>
        <v>4743.80952380952</v>
      </c>
      <c r="L30" s="54">
        <f t="shared" si="5"/>
        <v>0</v>
      </c>
      <c r="M30" s="152">
        <f>税金参数!R28</f>
        <v>94941.1505781878</v>
      </c>
      <c r="N30" s="256">
        <v>0</v>
      </c>
      <c r="O30" s="257">
        <f t="shared" si="6"/>
        <v>395733.542520012</v>
      </c>
      <c r="Q30" s="33" t="s">
        <v>27</v>
      </c>
      <c r="R30" s="279">
        <f>基础数据!K18</f>
        <v>118738.767833333</v>
      </c>
      <c r="T30" s="33" t="s">
        <v>27</v>
      </c>
      <c r="U30" s="33"/>
      <c r="V30" s="279">
        <f t="shared" si="10"/>
        <v>117551.380155</v>
      </c>
      <c r="W30" s="279"/>
      <c r="X30" s="39"/>
      <c r="Y30" s="39"/>
      <c r="Z30" s="39"/>
    </row>
    <row r="31" customHeight="1" spans="1:26">
      <c r="A31" s="39"/>
      <c r="B31" s="55" t="s">
        <v>34</v>
      </c>
      <c r="C31" s="55"/>
      <c r="D31" s="245">
        <f t="shared" ref="D31:M31" si="11">SUM(D6:D30)</f>
        <v>20572568.762525</v>
      </c>
      <c r="E31" s="55">
        <f t="shared" si="11"/>
        <v>19009053.5365731</v>
      </c>
      <c r="F31" s="55">
        <f t="shared" si="11"/>
        <v>1563515.2259519</v>
      </c>
      <c r="G31" s="246">
        <f t="shared" si="11"/>
        <v>13969948.5890773</v>
      </c>
      <c r="H31" s="246">
        <f t="shared" si="11"/>
        <v>707547.16981132</v>
      </c>
      <c r="I31" s="246">
        <f t="shared" si="11"/>
        <v>165094.339622642</v>
      </c>
      <c r="J31" s="258">
        <f t="shared" si="11"/>
        <v>523125.07378229</v>
      </c>
      <c r="K31" s="258">
        <f t="shared" si="11"/>
        <v>118595.238095238</v>
      </c>
      <c r="L31" s="258">
        <f t="shared" si="11"/>
        <v>0</v>
      </c>
      <c r="M31" s="136">
        <f t="shared" si="11"/>
        <v>2273654.84980111</v>
      </c>
      <c r="N31" s="259"/>
      <c r="O31" s="260">
        <f>SUM(O6:O30)</f>
        <v>10181931.9179647</v>
      </c>
      <c r="Q31" s="33" t="s">
        <v>28</v>
      </c>
      <c r="R31" s="279">
        <f>基础数据!K19</f>
        <v>114431.509</v>
      </c>
      <c r="T31" s="33" t="s">
        <v>28</v>
      </c>
      <c r="U31" s="33"/>
      <c r="V31" s="279">
        <f t="shared" si="10"/>
        <v>113287.19391</v>
      </c>
      <c r="W31" s="279"/>
      <c r="X31" s="39"/>
      <c r="Y31" s="39"/>
      <c r="Z31" s="39"/>
    </row>
    <row r="32" customHeight="1" spans="1:26">
      <c r="A32" s="39"/>
      <c r="B32" s="46"/>
      <c r="C32" s="46"/>
      <c r="D32" s="46"/>
      <c r="E32" s="247"/>
      <c r="F32" s="247"/>
      <c r="G32" s="247"/>
      <c r="H32" s="247"/>
      <c r="I32" s="247"/>
      <c r="J32" s="247"/>
      <c r="K32" s="46"/>
      <c r="L32" s="46"/>
      <c r="M32" s="247"/>
      <c r="N32" s="247"/>
      <c r="O32" s="247"/>
      <c r="Q32" s="33" t="s">
        <v>29</v>
      </c>
      <c r="R32" s="279">
        <f>基础数据!K20</f>
        <v>78449.67</v>
      </c>
      <c r="T32" s="33" t="s">
        <v>29</v>
      </c>
      <c r="U32" s="33"/>
      <c r="V32" s="279">
        <f t="shared" si="10"/>
        <v>77665.1733</v>
      </c>
      <c r="W32" s="279"/>
      <c r="X32" s="39"/>
      <c r="Y32" s="39"/>
      <c r="Z32" s="39"/>
    </row>
    <row r="33" customHeight="1" spans="1:26">
      <c r="A33" s="39"/>
      <c r="D33" s="57"/>
      <c r="Q33" s="33" t="s">
        <v>30</v>
      </c>
      <c r="R33" s="279">
        <f>基础数据!K21</f>
        <v>50754.0318333333</v>
      </c>
      <c r="T33" s="33" t="s">
        <v>30</v>
      </c>
      <c r="U33" s="33"/>
      <c r="V33" s="279">
        <f t="shared" si="10"/>
        <v>50246.491515</v>
      </c>
      <c r="W33" s="279"/>
      <c r="X33" s="39"/>
      <c r="Y33" s="39"/>
      <c r="Z33" s="39"/>
    </row>
    <row r="34" customHeight="1" spans="1:26">
      <c r="A34" s="39"/>
      <c r="C34" s="70" t="s">
        <v>96</v>
      </c>
      <c r="D34" s="54">
        <f>基础数据!H7</f>
        <v>2000000</v>
      </c>
      <c r="E34" s="70"/>
      <c r="F34" s="248"/>
      <c r="Q34" s="33" t="s">
        <v>31</v>
      </c>
      <c r="R34" s="279">
        <f>基础数据!K22</f>
        <v>43112.045</v>
      </c>
      <c r="T34" s="33" t="s">
        <v>31</v>
      </c>
      <c r="U34" s="33"/>
      <c r="V34" s="279">
        <f t="shared" si="10"/>
        <v>42680.92455</v>
      </c>
      <c r="W34" s="279"/>
      <c r="X34" s="39"/>
      <c r="Y34" s="39"/>
      <c r="Z34" s="39"/>
    </row>
    <row r="35" customHeight="1" spans="1:26">
      <c r="A35" s="39"/>
      <c r="C35" s="70" t="s">
        <v>97</v>
      </c>
      <c r="D35" s="54">
        <f>基础数据!J29</f>
        <v>30000</v>
      </c>
      <c r="E35" s="58" t="s">
        <v>98</v>
      </c>
      <c r="F35" s="136">
        <f>基础数据!J27</f>
        <v>7000</v>
      </c>
      <c r="Q35" s="33" t="s">
        <v>32</v>
      </c>
      <c r="R35" s="279">
        <f>基础数据!K23</f>
        <v>34512.1605</v>
      </c>
      <c r="T35" s="33" t="s">
        <v>32</v>
      </c>
      <c r="U35" s="33"/>
      <c r="V35" s="279">
        <f t="shared" si="10"/>
        <v>34167.038895</v>
      </c>
      <c r="W35" s="279"/>
      <c r="X35" s="39"/>
      <c r="Y35" s="39"/>
      <c r="Z35" s="39"/>
    </row>
    <row r="36" customHeight="1" spans="1:23">
      <c r="A36" s="39"/>
      <c r="F36" s="249"/>
      <c r="Q36" s="33" t="s">
        <v>34</v>
      </c>
      <c r="R36" s="279">
        <f>SUM(R24:R35)</f>
        <v>873569.798833333</v>
      </c>
      <c r="T36" s="81" t="s">
        <v>34</v>
      </c>
      <c r="U36" s="81"/>
      <c r="V36" s="280">
        <f>SUM(V24:W35)</f>
        <v>864834.100845</v>
      </c>
      <c r="W36" s="280"/>
    </row>
    <row r="37" customHeight="1" spans="1:3">
      <c r="A37" s="39" t="s">
        <v>99</v>
      </c>
      <c r="C37" s="101" t="s">
        <v>100</v>
      </c>
    </row>
    <row r="51" customHeight="1" spans="18:21">
      <c r="R51" s="41"/>
      <c r="S51" s="41"/>
      <c r="T51" s="41"/>
      <c r="U51" s="41"/>
    </row>
    <row r="54" customHeight="1" spans="20:20">
      <c r="T54" s="19"/>
    </row>
  </sheetData>
  <mergeCells count="45">
    <mergeCell ref="R3:Z3"/>
    <mergeCell ref="B4:D4"/>
    <mergeCell ref="Y9:AC9"/>
    <mergeCell ref="S10:W10"/>
    <mergeCell ref="R12:Z12"/>
    <mergeCell ref="Y18:AC18"/>
    <mergeCell ref="S19:W19"/>
    <mergeCell ref="Q22:R22"/>
    <mergeCell ref="T22:W22"/>
    <mergeCell ref="T23:U23"/>
    <mergeCell ref="V23:W23"/>
    <mergeCell ref="T24:U24"/>
    <mergeCell ref="V24:W24"/>
    <mergeCell ref="T25:U25"/>
    <mergeCell ref="V25:W25"/>
    <mergeCell ref="T26:U26"/>
    <mergeCell ref="V26:W26"/>
    <mergeCell ref="T27:U27"/>
    <mergeCell ref="V27:W27"/>
    <mergeCell ref="T28:U28"/>
    <mergeCell ref="V28:W28"/>
    <mergeCell ref="T29:U29"/>
    <mergeCell ref="V29:W29"/>
    <mergeCell ref="T30:U30"/>
    <mergeCell ref="V30:W30"/>
    <mergeCell ref="B31:C31"/>
    <mergeCell ref="T31:U31"/>
    <mergeCell ref="V31:W31"/>
    <mergeCell ref="B32:D32"/>
    <mergeCell ref="T32:U32"/>
    <mergeCell ref="V32:W32"/>
    <mergeCell ref="T33:U33"/>
    <mergeCell ref="V33:W33"/>
    <mergeCell ref="T34:U34"/>
    <mergeCell ref="V34:W34"/>
    <mergeCell ref="T35:U35"/>
    <mergeCell ref="V35:W35"/>
    <mergeCell ref="T36:U36"/>
    <mergeCell ref="V36:W36"/>
    <mergeCell ref="R51:U51"/>
    <mergeCell ref="R4:R5"/>
    <mergeCell ref="R6:R7"/>
    <mergeCell ref="R13:R14"/>
    <mergeCell ref="R15:R16"/>
    <mergeCell ref="W6:W7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85" zoomScaleNormal="85" workbookViewId="0">
      <selection activeCell="I3" sqref="I3:M31"/>
    </sheetView>
  </sheetViews>
  <sheetFormatPr defaultColWidth="13.625" defaultRowHeight="21" customHeight="1"/>
  <cols>
    <col min="1" max="1" width="22.125" style="144" customWidth="1"/>
    <col min="2" max="2" width="3.875" style="144" customWidth="1"/>
    <col min="3" max="3" width="17" style="144" customWidth="1"/>
    <col min="4" max="5" width="20.625" style="144" customWidth="1"/>
    <col min="6" max="6" width="14.5" style="144" customWidth="1"/>
    <col min="7" max="7" width="32.875" style="145" customWidth="1"/>
    <col min="8" max="8" width="4.125" style="144" customWidth="1"/>
    <col min="9" max="9" width="10.25" style="144" customWidth="1"/>
    <col min="10" max="10" width="17" style="144" customWidth="1"/>
    <col min="11" max="11" width="16" style="144" customWidth="1"/>
    <col min="12" max="12" width="15.25" style="144" customWidth="1"/>
    <col min="13" max="13" width="20.5" style="144" customWidth="1"/>
    <col min="14" max="14" width="15.25" style="144" customWidth="1"/>
    <col min="15" max="16384" width="13.625" style="144"/>
  </cols>
  <sheetData>
    <row r="1" customHeight="1" spans="1:8">
      <c r="A1" s="226"/>
      <c r="E1" s="227"/>
      <c r="F1" s="215"/>
      <c r="G1" s="215"/>
      <c r="H1" s="215"/>
    </row>
    <row r="2" customHeight="1" spans="1:8">
      <c r="A2" s="226"/>
      <c r="E2" s="227"/>
      <c r="F2" s="215"/>
      <c r="G2" s="215"/>
      <c r="H2" s="215"/>
    </row>
    <row r="3" customHeight="1" spans="3:13">
      <c r="C3" s="146" t="s">
        <v>101</v>
      </c>
      <c r="D3" s="146"/>
      <c r="E3" s="146"/>
      <c r="F3" s="215"/>
      <c r="G3" s="215"/>
      <c r="H3" s="215"/>
      <c r="I3" s="146" t="s">
        <v>102</v>
      </c>
      <c r="J3" s="146"/>
      <c r="K3" s="146"/>
      <c r="L3" s="146"/>
      <c r="M3" s="146"/>
    </row>
    <row r="4" customHeight="1" spans="3:13">
      <c r="C4" s="126" t="s">
        <v>70</v>
      </c>
      <c r="D4" s="126" t="s">
        <v>103</v>
      </c>
      <c r="E4" s="151" t="s">
        <v>104</v>
      </c>
      <c r="F4" s="215"/>
      <c r="G4" s="215"/>
      <c r="H4" s="215"/>
      <c r="I4" s="126" t="s">
        <v>56</v>
      </c>
      <c r="J4" s="126"/>
      <c r="K4" s="126"/>
      <c r="L4" s="126" t="s">
        <v>57</v>
      </c>
      <c r="M4" s="133" t="s">
        <v>105</v>
      </c>
    </row>
    <row r="5" customHeight="1" spans="2:13">
      <c r="B5" s="226"/>
      <c r="C5" s="126">
        <v>1</v>
      </c>
      <c r="D5" s="151">
        <f>$A$8*$A$10</f>
        <v>4981</v>
      </c>
      <c r="E5" s="151">
        <f>D5</f>
        <v>4981</v>
      </c>
      <c r="F5" s="215"/>
      <c r="G5" s="215"/>
      <c r="H5" s="215"/>
      <c r="I5" s="126" t="s">
        <v>70</v>
      </c>
      <c r="J5" s="126" t="s">
        <v>106</v>
      </c>
      <c r="K5" s="126" t="s">
        <v>20</v>
      </c>
      <c r="L5" s="233">
        <v>0.5853</v>
      </c>
      <c r="M5" s="133"/>
    </row>
    <row r="6" customHeight="1" spans="2:13">
      <c r="B6" s="227"/>
      <c r="C6" s="126">
        <v>2</v>
      </c>
      <c r="D6" s="151">
        <f t="shared" ref="D5:D29" si="0">$A$8*$A$10</f>
        <v>4981</v>
      </c>
      <c r="E6" s="151">
        <f>E5+D6</f>
        <v>9962</v>
      </c>
      <c r="F6" s="215"/>
      <c r="G6" s="215"/>
      <c r="H6" s="215"/>
      <c r="I6" s="126">
        <v>1</v>
      </c>
      <c r="J6" s="133">
        <f>'光伏发电衰减表 输入数据'!C6</f>
        <v>0.99</v>
      </c>
      <c r="K6" s="234">
        <f>'光伏发电衰减表 输入数据'!D6</f>
        <v>864834.100845</v>
      </c>
      <c r="L6" s="234">
        <f>K6*$L$5</f>
        <v>506187.399224579</v>
      </c>
      <c r="M6" s="234">
        <f>L6*$G$14</f>
        <v>78965.2342790343</v>
      </c>
    </row>
    <row r="7" customHeight="1" spans="1:13">
      <c r="A7" s="146" t="s">
        <v>107</v>
      </c>
      <c r="C7" s="126">
        <v>3</v>
      </c>
      <c r="D7" s="151">
        <f t="shared" si="0"/>
        <v>4981</v>
      </c>
      <c r="E7" s="151">
        <f>E6+D7</f>
        <v>14943</v>
      </c>
      <c r="F7" s="215"/>
      <c r="G7" s="146" t="s">
        <v>108</v>
      </c>
      <c r="H7" s="215"/>
      <c r="I7" s="126">
        <v>2</v>
      </c>
      <c r="J7" s="133">
        <f>'光伏发电衰减表 输入数据'!C7</f>
        <v>0.986</v>
      </c>
      <c r="K7" s="234">
        <f>'光伏发电衰减表 输入数据'!D7</f>
        <v>861339.821649667</v>
      </c>
      <c r="L7" s="234">
        <f t="shared" ref="L7:L30" si="1">K7*$L$5</f>
        <v>504142.19761155</v>
      </c>
      <c r="M7" s="234">
        <f t="shared" ref="M7:M30" si="2">L7*$G$14</f>
        <v>78646.1828274018</v>
      </c>
    </row>
    <row r="8" customHeight="1" spans="1:13">
      <c r="A8" s="64">
        <v>4981</v>
      </c>
      <c r="C8" s="126">
        <v>4</v>
      </c>
      <c r="D8" s="151">
        <f t="shared" si="0"/>
        <v>4981</v>
      </c>
      <c r="E8" s="151">
        <f t="shared" ref="E8:E29" si="3">E7+D8</f>
        <v>19924</v>
      </c>
      <c r="F8" s="215"/>
      <c r="G8" s="228">
        <v>0.78</v>
      </c>
      <c r="H8" s="215"/>
      <c r="I8" s="126">
        <v>3</v>
      </c>
      <c r="J8" s="133">
        <f>'光伏发电衰减表 输入数据'!C8</f>
        <v>0.982</v>
      </c>
      <c r="K8" s="234">
        <f>'光伏发电衰减表 输入数据'!D8</f>
        <v>857845.542454333</v>
      </c>
      <c r="L8" s="234">
        <f t="shared" si="1"/>
        <v>502096.995998521</v>
      </c>
      <c r="M8" s="234">
        <f t="shared" si="2"/>
        <v>78327.1313757693</v>
      </c>
    </row>
    <row r="9" customHeight="1" spans="1:13">
      <c r="A9" s="146" t="s">
        <v>109</v>
      </c>
      <c r="C9" s="126">
        <v>5</v>
      </c>
      <c r="D9" s="151">
        <f t="shared" si="0"/>
        <v>4981</v>
      </c>
      <c r="E9" s="151">
        <f t="shared" si="3"/>
        <v>24905</v>
      </c>
      <c r="F9" s="215"/>
      <c r="G9" s="146" t="s">
        <v>110</v>
      </c>
      <c r="H9" s="215"/>
      <c r="I9" s="126">
        <v>4</v>
      </c>
      <c r="J9" s="133">
        <f>'光伏发电衰减表 输入数据'!C9</f>
        <v>0.978</v>
      </c>
      <c r="K9" s="234">
        <f>'光伏发电衰减表 输入数据'!D9</f>
        <v>854351.263259</v>
      </c>
      <c r="L9" s="234">
        <f t="shared" si="1"/>
        <v>500051.794385493</v>
      </c>
      <c r="M9" s="234">
        <f t="shared" si="2"/>
        <v>78008.0799241369</v>
      </c>
    </row>
    <row r="10" customHeight="1" spans="1:13">
      <c r="A10" s="64">
        <v>1</v>
      </c>
      <c r="C10" s="126">
        <v>6</v>
      </c>
      <c r="D10" s="151">
        <f t="shared" si="0"/>
        <v>4981</v>
      </c>
      <c r="E10" s="151">
        <f t="shared" si="3"/>
        <v>29886</v>
      </c>
      <c r="F10" s="215"/>
      <c r="G10" s="229">
        <v>0.8</v>
      </c>
      <c r="H10" s="215"/>
      <c r="I10" s="126">
        <v>5</v>
      </c>
      <c r="J10" s="133">
        <f>'光伏发电衰减表 输入数据'!C10</f>
        <v>0.974</v>
      </c>
      <c r="K10" s="234">
        <f>'光伏发电衰减表 输入数据'!D10</f>
        <v>850856.984063667</v>
      </c>
      <c r="L10" s="234">
        <f t="shared" si="1"/>
        <v>498006.592772464</v>
      </c>
      <c r="M10" s="234">
        <f t="shared" si="2"/>
        <v>77689.0284725044</v>
      </c>
    </row>
    <row r="11" customHeight="1" spans="3:13">
      <c r="C11" s="126">
        <v>7</v>
      </c>
      <c r="D11" s="151">
        <f t="shared" si="0"/>
        <v>4981</v>
      </c>
      <c r="E11" s="151">
        <f t="shared" si="3"/>
        <v>34867</v>
      </c>
      <c r="F11" s="215"/>
      <c r="G11" s="146" t="s">
        <v>111</v>
      </c>
      <c r="H11" s="215"/>
      <c r="I11" s="126">
        <v>6</v>
      </c>
      <c r="J11" s="133">
        <f>'光伏发电衰减表 输入数据'!C11</f>
        <v>0.97</v>
      </c>
      <c r="K11" s="234">
        <f>'光伏发电衰减表 输入数据'!D11</f>
        <v>847362.704868333</v>
      </c>
      <c r="L11" s="234">
        <f t="shared" si="1"/>
        <v>495961.391159436</v>
      </c>
      <c r="M11" s="234">
        <f t="shared" si="2"/>
        <v>77369.9770208719</v>
      </c>
    </row>
    <row r="12" customHeight="1" spans="3:13">
      <c r="C12" s="126">
        <v>8</v>
      </c>
      <c r="D12" s="151">
        <f t="shared" si="0"/>
        <v>4981</v>
      </c>
      <c r="E12" s="151">
        <f t="shared" si="3"/>
        <v>39848</v>
      </c>
      <c r="F12" s="215"/>
      <c r="G12" s="230">
        <f>G8*G10</f>
        <v>0.624</v>
      </c>
      <c r="H12" s="215"/>
      <c r="I12" s="126">
        <v>7</v>
      </c>
      <c r="J12" s="133">
        <f>'光伏发电衰减表 输入数据'!C12</f>
        <v>0.966</v>
      </c>
      <c r="K12" s="234">
        <f>'光伏发电衰减表 输入数据'!D12</f>
        <v>843868.425673</v>
      </c>
      <c r="L12" s="234">
        <f t="shared" si="1"/>
        <v>493916.189546407</v>
      </c>
      <c r="M12" s="234">
        <f t="shared" si="2"/>
        <v>77050.9255692395</v>
      </c>
    </row>
    <row r="13" customHeight="1" spans="3:13">
      <c r="C13" s="126">
        <v>9</v>
      </c>
      <c r="D13" s="151">
        <f t="shared" si="0"/>
        <v>4981</v>
      </c>
      <c r="E13" s="151">
        <f t="shared" si="3"/>
        <v>44829</v>
      </c>
      <c r="F13" s="215"/>
      <c r="G13" s="146" t="s">
        <v>112</v>
      </c>
      <c r="H13" s="215"/>
      <c r="I13" s="126">
        <v>8</v>
      </c>
      <c r="J13" s="133">
        <f>'光伏发电衰减表 输入数据'!C13</f>
        <v>0.962</v>
      </c>
      <c r="K13" s="234">
        <f>'光伏发电衰减表 输入数据'!D13</f>
        <v>840374.146477667</v>
      </c>
      <c r="L13" s="234">
        <f t="shared" si="1"/>
        <v>491870.987933378</v>
      </c>
      <c r="M13" s="234">
        <f t="shared" si="2"/>
        <v>76731.874117607</v>
      </c>
    </row>
    <row r="14" customHeight="1" spans="3:13">
      <c r="C14" s="126">
        <v>10</v>
      </c>
      <c r="D14" s="151">
        <f t="shared" si="0"/>
        <v>4981</v>
      </c>
      <c r="E14" s="151">
        <f t="shared" si="3"/>
        <v>49810</v>
      </c>
      <c r="F14" s="215"/>
      <c r="G14" s="230">
        <f>G8-G12</f>
        <v>0.156</v>
      </c>
      <c r="H14" s="215"/>
      <c r="I14" s="126">
        <v>9</v>
      </c>
      <c r="J14" s="133">
        <f>'光伏发电衰减表 输入数据'!C14</f>
        <v>0.958</v>
      </c>
      <c r="K14" s="234">
        <f>'光伏发电衰减表 输入数据'!D14</f>
        <v>836879.867282333</v>
      </c>
      <c r="L14" s="234">
        <f t="shared" si="1"/>
        <v>489825.78632035</v>
      </c>
      <c r="M14" s="234">
        <f t="shared" si="2"/>
        <v>76412.8226659746</v>
      </c>
    </row>
    <row r="15" customHeight="1" spans="3:13">
      <c r="C15" s="126">
        <v>11</v>
      </c>
      <c r="D15" s="151">
        <f t="shared" si="0"/>
        <v>4981</v>
      </c>
      <c r="E15" s="151">
        <f t="shared" si="3"/>
        <v>54791</v>
      </c>
      <c r="F15" s="215"/>
      <c r="G15" s="215"/>
      <c r="H15" s="215"/>
      <c r="I15" s="126">
        <v>10</v>
      </c>
      <c r="J15" s="133">
        <f>'光伏发电衰减表 输入数据'!C15</f>
        <v>0.954</v>
      </c>
      <c r="K15" s="234">
        <f>'光伏发电衰减表 输入数据'!D15</f>
        <v>833385.588087</v>
      </c>
      <c r="L15" s="234">
        <f t="shared" si="1"/>
        <v>487780.584707321</v>
      </c>
      <c r="M15" s="234">
        <f t="shared" si="2"/>
        <v>76093.7712143421</v>
      </c>
    </row>
    <row r="16" customHeight="1" spans="3:13">
      <c r="C16" s="126">
        <v>12</v>
      </c>
      <c r="D16" s="151">
        <f t="shared" si="0"/>
        <v>4981</v>
      </c>
      <c r="E16" s="151">
        <f t="shared" si="3"/>
        <v>59772</v>
      </c>
      <c r="F16" s="215"/>
      <c r="G16" s="215"/>
      <c r="H16" s="215"/>
      <c r="I16" s="126">
        <v>11</v>
      </c>
      <c r="J16" s="133">
        <f>'光伏发电衰减表 输入数据'!C16</f>
        <v>0.95</v>
      </c>
      <c r="K16" s="234">
        <f>'光伏发电衰减表 输入数据'!D16</f>
        <v>829891.308891667</v>
      </c>
      <c r="L16" s="234">
        <f t="shared" si="1"/>
        <v>485735.383094292</v>
      </c>
      <c r="M16" s="234">
        <f t="shared" si="2"/>
        <v>75774.7197627096</v>
      </c>
    </row>
    <row r="17" customHeight="1" spans="3:13">
      <c r="C17" s="126">
        <v>13</v>
      </c>
      <c r="D17" s="151">
        <f t="shared" si="0"/>
        <v>4981</v>
      </c>
      <c r="E17" s="151">
        <f t="shared" si="3"/>
        <v>64753</v>
      </c>
      <c r="F17" s="215"/>
      <c r="G17" s="215"/>
      <c r="H17" s="215"/>
      <c r="I17" s="126">
        <v>12</v>
      </c>
      <c r="J17" s="133">
        <f>'光伏发电衰减表 输入数据'!C17</f>
        <v>0.946</v>
      </c>
      <c r="K17" s="234">
        <f>'光伏发电衰减表 输入数据'!D17</f>
        <v>826397.029696333</v>
      </c>
      <c r="L17" s="234">
        <f t="shared" si="1"/>
        <v>483690.181481264</v>
      </c>
      <c r="M17" s="234">
        <f t="shared" si="2"/>
        <v>75455.6683110772</v>
      </c>
    </row>
    <row r="18" customHeight="1" spans="3:13">
      <c r="C18" s="126">
        <v>14</v>
      </c>
      <c r="D18" s="151">
        <f t="shared" si="0"/>
        <v>4981</v>
      </c>
      <c r="E18" s="151">
        <f t="shared" si="3"/>
        <v>69734</v>
      </c>
      <c r="F18" s="215"/>
      <c r="G18" s="215"/>
      <c r="H18" s="215"/>
      <c r="I18" s="126">
        <v>13</v>
      </c>
      <c r="J18" s="133">
        <f>'光伏发电衰减表 输入数据'!C18</f>
        <v>0.942</v>
      </c>
      <c r="K18" s="234">
        <f>'光伏发电衰减表 输入数据'!D18</f>
        <v>822902.750501</v>
      </c>
      <c r="L18" s="234">
        <f t="shared" si="1"/>
        <v>481644.979868235</v>
      </c>
      <c r="M18" s="234">
        <f t="shared" si="2"/>
        <v>75136.6168594447</v>
      </c>
    </row>
    <row r="19" customHeight="1" spans="3:13">
      <c r="C19" s="126">
        <v>15</v>
      </c>
      <c r="D19" s="151">
        <f t="shared" si="0"/>
        <v>4981</v>
      </c>
      <c r="E19" s="151">
        <f t="shared" si="3"/>
        <v>74715</v>
      </c>
      <c r="F19" s="215"/>
      <c r="G19" s="215"/>
      <c r="H19" s="215"/>
      <c r="I19" s="126">
        <v>14</v>
      </c>
      <c r="J19" s="133">
        <f>'光伏发电衰减表 输入数据'!C19</f>
        <v>0.938</v>
      </c>
      <c r="K19" s="234">
        <f>'光伏发电衰减表 输入数据'!D19</f>
        <v>819408.471305667</v>
      </c>
      <c r="L19" s="234">
        <f t="shared" si="1"/>
        <v>479599.778255207</v>
      </c>
      <c r="M19" s="234">
        <f t="shared" si="2"/>
        <v>74817.5654078122</v>
      </c>
    </row>
    <row r="20" customHeight="1" spans="3:13">
      <c r="C20" s="126">
        <v>16</v>
      </c>
      <c r="D20" s="151">
        <f t="shared" si="0"/>
        <v>4981</v>
      </c>
      <c r="E20" s="151">
        <f t="shared" si="3"/>
        <v>79696</v>
      </c>
      <c r="F20" s="215"/>
      <c r="G20" s="215"/>
      <c r="H20" s="215"/>
      <c r="I20" s="126">
        <v>15</v>
      </c>
      <c r="J20" s="133">
        <f>'光伏发电衰减表 输入数据'!C20</f>
        <v>0.934</v>
      </c>
      <c r="K20" s="234">
        <f>'光伏发电衰减表 输入数据'!D20</f>
        <v>815914.192110333</v>
      </c>
      <c r="L20" s="234">
        <f t="shared" si="1"/>
        <v>477554.576642178</v>
      </c>
      <c r="M20" s="234">
        <f t="shared" si="2"/>
        <v>74498.5139561798</v>
      </c>
    </row>
    <row r="21" customHeight="1" spans="3:13">
      <c r="C21" s="126">
        <v>17</v>
      </c>
      <c r="D21" s="151">
        <f t="shared" si="0"/>
        <v>4981</v>
      </c>
      <c r="E21" s="151">
        <f t="shared" si="3"/>
        <v>84677</v>
      </c>
      <c r="F21" s="231"/>
      <c r="G21" s="231"/>
      <c r="H21" s="231"/>
      <c r="I21" s="126">
        <v>16</v>
      </c>
      <c r="J21" s="133">
        <f>'光伏发电衰减表 输入数据'!C21</f>
        <v>0.93</v>
      </c>
      <c r="K21" s="234">
        <f>'光伏发电衰减表 输入数据'!D21</f>
        <v>812419.912915</v>
      </c>
      <c r="L21" s="234">
        <f t="shared" si="1"/>
        <v>475509.375029149</v>
      </c>
      <c r="M21" s="234">
        <f t="shared" si="2"/>
        <v>74179.4625045473</v>
      </c>
    </row>
    <row r="22" customHeight="1" spans="3:13">
      <c r="C22" s="126">
        <v>18</v>
      </c>
      <c r="D22" s="151">
        <f t="shared" si="0"/>
        <v>4981</v>
      </c>
      <c r="E22" s="151">
        <f t="shared" si="3"/>
        <v>89658</v>
      </c>
      <c r="F22" s="145"/>
      <c r="H22" s="145"/>
      <c r="I22" s="126">
        <v>17</v>
      </c>
      <c r="J22" s="133">
        <f>'光伏发电衰减表 输入数据'!C22</f>
        <v>0.926</v>
      </c>
      <c r="K22" s="234">
        <f>'光伏发电衰减表 输入数据'!D22</f>
        <v>808925.633719667</v>
      </c>
      <c r="L22" s="234">
        <f t="shared" si="1"/>
        <v>473464.173416121</v>
      </c>
      <c r="M22" s="234">
        <f t="shared" si="2"/>
        <v>73860.4110529149</v>
      </c>
    </row>
    <row r="23" customHeight="1" spans="3:13">
      <c r="C23" s="126">
        <v>19</v>
      </c>
      <c r="D23" s="151">
        <f t="shared" si="0"/>
        <v>4981</v>
      </c>
      <c r="E23" s="151">
        <f t="shared" si="3"/>
        <v>94639</v>
      </c>
      <c r="G23" s="144"/>
      <c r="I23" s="126">
        <v>18</v>
      </c>
      <c r="J23" s="133">
        <f>'光伏发电衰减表 输入数据'!C23</f>
        <v>0.922</v>
      </c>
      <c r="K23" s="234">
        <f>'光伏发电衰减表 输入数据'!D23</f>
        <v>805431.354524333</v>
      </c>
      <c r="L23" s="234">
        <f t="shared" si="1"/>
        <v>471418.971803092</v>
      </c>
      <c r="M23" s="234">
        <f t="shared" si="2"/>
        <v>73541.3596012824</v>
      </c>
    </row>
    <row r="24" customHeight="1" spans="3:13">
      <c r="C24" s="126">
        <v>20</v>
      </c>
      <c r="D24" s="151">
        <f t="shared" si="0"/>
        <v>4981</v>
      </c>
      <c r="E24" s="151">
        <f t="shared" si="3"/>
        <v>99620</v>
      </c>
      <c r="G24" s="144"/>
      <c r="I24" s="126">
        <v>19</v>
      </c>
      <c r="J24" s="133">
        <f>'光伏发电衰减表 输入数据'!C24</f>
        <v>0.918</v>
      </c>
      <c r="K24" s="234">
        <f>'光伏发电衰减表 输入数据'!D24</f>
        <v>801937.075329</v>
      </c>
      <c r="L24" s="234">
        <f t="shared" si="1"/>
        <v>469373.770190064</v>
      </c>
      <c r="M24" s="234">
        <f t="shared" si="2"/>
        <v>73222.3081496499</v>
      </c>
    </row>
    <row r="25" customHeight="1" spans="3:13">
      <c r="C25" s="126">
        <v>21</v>
      </c>
      <c r="D25" s="151">
        <f t="shared" si="0"/>
        <v>4981</v>
      </c>
      <c r="E25" s="151">
        <f t="shared" si="3"/>
        <v>104601</v>
      </c>
      <c r="G25" s="144"/>
      <c r="I25" s="126">
        <v>20</v>
      </c>
      <c r="J25" s="133">
        <f>'光伏发电衰减表 输入数据'!C25</f>
        <v>0.914</v>
      </c>
      <c r="K25" s="234">
        <f>'光伏发电衰减表 输入数据'!D25</f>
        <v>798442.796133667</v>
      </c>
      <c r="L25" s="234">
        <f t="shared" si="1"/>
        <v>467328.568577035</v>
      </c>
      <c r="M25" s="234">
        <f t="shared" si="2"/>
        <v>72903.2566980175</v>
      </c>
    </row>
    <row r="26" customHeight="1" spans="3:13">
      <c r="C26" s="126">
        <v>22</v>
      </c>
      <c r="D26" s="151">
        <f t="shared" si="0"/>
        <v>4981</v>
      </c>
      <c r="E26" s="151">
        <f t="shared" si="3"/>
        <v>109582</v>
      </c>
      <c r="G26" s="144"/>
      <c r="I26" s="126">
        <v>21</v>
      </c>
      <c r="J26" s="133">
        <f>'光伏发电衰减表 输入数据'!C26</f>
        <v>0.91</v>
      </c>
      <c r="K26" s="234">
        <f>'光伏发电衰减表 输入数据'!D26</f>
        <v>794948.516938333</v>
      </c>
      <c r="L26" s="234">
        <f t="shared" si="1"/>
        <v>465283.366964007</v>
      </c>
      <c r="M26" s="234">
        <f t="shared" si="2"/>
        <v>72584.205246385</v>
      </c>
    </row>
    <row r="27" customHeight="1" spans="3:13">
      <c r="C27" s="126">
        <v>23</v>
      </c>
      <c r="D27" s="151">
        <f t="shared" si="0"/>
        <v>4981</v>
      </c>
      <c r="E27" s="151">
        <f t="shared" si="3"/>
        <v>114563</v>
      </c>
      <c r="G27" s="144"/>
      <c r="I27" s="126">
        <v>22</v>
      </c>
      <c r="J27" s="133">
        <f>'光伏发电衰减表 输入数据'!C27</f>
        <v>0.906</v>
      </c>
      <c r="K27" s="234">
        <f>'光伏发电衰减表 输入数据'!D27</f>
        <v>791454.237743</v>
      </c>
      <c r="L27" s="234">
        <f t="shared" si="1"/>
        <v>463238.165350978</v>
      </c>
      <c r="M27" s="234">
        <f t="shared" si="2"/>
        <v>72265.1537947526</v>
      </c>
    </row>
    <row r="28" customHeight="1" spans="3:13">
      <c r="C28" s="126">
        <v>24</v>
      </c>
      <c r="D28" s="151">
        <f t="shared" si="0"/>
        <v>4981</v>
      </c>
      <c r="E28" s="151">
        <f t="shared" si="3"/>
        <v>119544</v>
      </c>
      <c r="G28" s="144"/>
      <c r="I28" s="126">
        <v>23</v>
      </c>
      <c r="J28" s="133">
        <f>'光伏发电衰减表 输入数据'!C28</f>
        <v>0.902</v>
      </c>
      <c r="K28" s="234">
        <f>'光伏发电衰减表 输入数据'!D28</f>
        <v>787959.958547667</v>
      </c>
      <c r="L28" s="234">
        <f t="shared" si="1"/>
        <v>461192.963737949</v>
      </c>
      <c r="M28" s="234">
        <f t="shared" si="2"/>
        <v>71946.1023431201</v>
      </c>
    </row>
    <row r="29" customHeight="1" spans="3:13">
      <c r="C29" s="126">
        <v>25</v>
      </c>
      <c r="D29" s="151">
        <f t="shared" si="0"/>
        <v>4981</v>
      </c>
      <c r="E29" s="232">
        <f t="shared" si="3"/>
        <v>124525</v>
      </c>
      <c r="G29" s="144"/>
      <c r="I29" s="126">
        <v>24</v>
      </c>
      <c r="J29" s="133">
        <f>'光伏发电衰减表 输入数据'!C29</f>
        <v>0.898</v>
      </c>
      <c r="K29" s="234">
        <f>'光伏发电衰减表 输入数据'!D29</f>
        <v>784465.679352333</v>
      </c>
      <c r="L29" s="234">
        <f t="shared" si="1"/>
        <v>459147.762124921</v>
      </c>
      <c r="M29" s="234">
        <f t="shared" si="2"/>
        <v>71627.0508914876</v>
      </c>
    </row>
    <row r="30" customHeight="1" spans="4:13">
      <c r="D30" s="227"/>
      <c r="I30" s="126">
        <v>25</v>
      </c>
      <c r="J30" s="133">
        <f>'光伏发电衰减表 输入数据'!C30</f>
        <v>0.894</v>
      </c>
      <c r="K30" s="234">
        <f>'光伏发电衰减表 输入数据'!D30</f>
        <v>780971.400157</v>
      </c>
      <c r="L30" s="234">
        <f t="shared" si="1"/>
        <v>457102.560511892</v>
      </c>
      <c r="M30" s="234">
        <f t="shared" si="2"/>
        <v>71307.9994398552</v>
      </c>
    </row>
    <row r="31" customHeight="1" spans="9:13">
      <c r="I31" s="126" t="s">
        <v>34</v>
      </c>
      <c r="J31" s="126"/>
      <c r="K31" s="234">
        <f>SUM(K6:K30)</f>
        <v>20572568.762525</v>
      </c>
      <c r="L31" s="234">
        <f>SUM(L6:L30)</f>
        <v>12041124.4967059</v>
      </c>
      <c r="M31" s="235">
        <f>SUM(M6:M30)</f>
        <v>1878415.42148612</v>
      </c>
    </row>
  </sheetData>
  <mergeCells count="5">
    <mergeCell ref="C3:E3"/>
    <mergeCell ref="I3:M3"/>
    <mergeCell ref="I4:K4"/>
    <mergeCell ref="I31:J31"/>
    <mergeCell ref="M4:M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46"/>
  <sheetViews>
    <sheetView zoomScale="85" zoomScaleNormal="85" topLeftCell="B1" workbookViewId="0">
      <selection activeCell="P34" sqref="P34"/>
    </sheetView>
  </sheetViews>
  <sheetFormatPr defaultColWidth="13.625" defaultRowHeight="20.1" customHeight="1"/>
  <cols>
    <col min="1" max="1" width="13.625" style="144"/>
    <col min="2" max="2" width="16.125" style="144" customWidth="1"/>
    <col min="3" max="3" width="23.75" style="144" customWidth="1"/>
    <col min="4" max="4" width="20" style="144" customWidth="1"/>
    <col min="5" max="5" width="18.125" style="144" customWidth="1"/>
    <col min="6" max="6" width="15.75" style="145" customWidth="1"/>
    <col min="7" max="7" width="16.375" style="144" customWidth="1"/>
    <col min="8" max="8" width="14.5" style="144" customWidth="1"/>
    <col min="9" max="9" width="15.375" style="144" customWidth="1"/>
    <col min="10" max="10" width="14" style="144" customWidth="1"/>
    <col min="11" max="12" width="15.25" style="144" customWidth="1"/>
    <col min="13" max="13" width="14.375" style="144" customWidth="1"/>
    <col min="14" max="14" width="15" style="144" customWidth="1"/>
    <col min="15" max="15" width="15.125" style="144" customWidth="1"/>
    <col min="16" max="16" width="18.875" style="144" customWidth="1"/>
    <col min="17" max="17" width="15.5" style="144" customWidth="1"/>
    <col min="18" max="16384" width="13.625" style="144"/>
  </cols>
  <sheetData>
    <row r="2" ht="64" customHeight="1" spans="5:17">
      <c r="E2" s="202" t="s">
        <v>60</v>
      </c>
      <c r="F2" s="203" t="s">
        <v>113</v>
      </c>
      <c r="G2" s="204"/>
      <c r="H2" s="202" t="s">
        <v>114</v>
      </c>
      <c r="I2" s="202" t="s">
        <v>114</v>
      </c>
      <c r="J2" s="202" t="s">
        <v>114</v>
      </c>
      <c r="K2" s="211"/>
      <c r="L2" s="211"/>
      <c r="M2" s="211"/>
      <c r="N2" s="211"/>
      <c r="O2" s="202" t="s">
        <v>115</v>
      </c>
      <c r="Q2" s="202" t="s">
        <v>114</v>
      </c>
    </row>
    <row r="3" customHeight="1" spans="2:18">
      <c r="B3" s="126" t="s">
        <v>70</v>
      </c>
      <c r="C3" s="126" t="s">
        <v>116</v>
      </c>
      <c r="D3" s="126" t="s">
        <v>117</v>
      </c>
      <c r="E3" s="126" t="s">
        <v>118</v>
      </c>
      <c r="F3" s="150" t="s">
        <v>119</v>
      </c>
      <c r="G3" s="205" t="s">
        <v>120</v>
      </c>
      <c r="H3" s="126" t="s">
        <v>121</v>
      </c>
      <c r="I3" s="126" t="s">
        <v>122</v>
      </c>
      <c r="J3" s="126" t="s">
        <v>123</v>
      </c>
      <c r="K3" s="212" t="s">
        <v>124</v>
      </c>
      <c r="L3" s="126" t="s">
        <v>125</v>
      </c>
      <c r="M3" s="126" t="s">
        <v>77</v>
      </c>
      <c r="N3" s="126" t="s">
        <v>76</v>
      </c>
      <c r="O3" s="150" t="s">
        <v>75</v>
      </c>
      <c r="P3" s="126" t="s">
        <v>126</v>
      </c>
      <c r="Q3" s="214" t="s">
        <v>127</v>
      </c>
      <c r="R3" s="223" t="s">
        <v>78</v>
      </c>
    </row>
    <row r="4" customHeight="1" spans="2:18">
      <c r="B4" s="126">
        <v>1</v>
      </c>
      <c r="C4" s="151">
        <f>'光伏发电衰减表 输入数据'!G6*0.13</f>
        <v>76345.3241364862</v>
      </c>
      <c r="D4" s="152">
        <f t="shared" ref="D4:D28" si="0">$C$39/1.06*0.06+$E$39/1.06*0.06</f>
        <v>2094.33962264151</v>
      </c>
      <c r="E4" s="152">
        <f>'业主收益（租金、节能收益）'!D5/1.05*0.05</f>
        <v>237.190476190476</v>
      </c>
      <c r="F4" s="206">
        <f>-$E$41-D4-E4+C4</f>
        <v>-91123.8206412448</v>
      </c>
      <c r="G4" s="152">
        <f>IF(F4&lt;0,0,F4)</f>
        <v>0</v>
      </c>
      <c r="H4" s="152">
        <f>G4*$L$40</f>
        <v>0</v>
      </c>
      <c r="I4" s="152">
        <f>G4*$L$41</f>
        <v>0</v>
      </c>
      <c r="J4" s="152">
        <f>G4*$L$42</f>
        <v>0</v>
      </c>
      <c r="K4" s="152">
        <f>SUM(H4:J4)</f>
        <v>0</v>
      </c>
      <c r="L4" s="152">
        <f>$C$41*(2/10*100%)</f>
        <v>366972.47706422</v>
      </c>
      <c r="M4" s="152">
        <f>'光伏发电衰减表 输入数据'!L6</f>
        <v>0</v>
      </c>
      <c r="N4" s="152">
        <f>'业主收益（租金、节能收益）'!D5/1.05</f>
        <v>4743.80952380952</v>
      </c>
      <c r="O4" s="151">
        <f>'等额本息（融资租赁）'!P10</f>
        <v>112485.374987679</v>
      </c>
      <c r="P4" s="152">
        <f>'光伏发电衰减表 输入数据'!G6-$C$39/1.06-$E$39/1.06-L4-M4-N4-O4-K4</f>
        <v>68164.4021737497</v>
      </c>
      <c r="Q4" s="152">
        <f>IF(P4&lt;0,0,P4*$L$43)</f>
        <v>3408.22010868748</v>
      </c>
      <c r="R4" s="224">
        <f>G4+K4+Q4</f>
        <v>3408.22010868748</v>
      </c>
    </row>
    <row r="5" customHeight="1" spans="2:18">
      <c r="B5" s="126">
        <v>2</v>
      </c>
      <c r="C5" s="151">
        <f>'光伏发电衰减表 输入数据'!G7*0.13</f>
        <v>76036.8581803792</v>
      </c>
      <c r="D5" s="152">
        <f t="shared" si="0"/>
        <v>2094.33962264151</v>
      </c>
      <c r="E5" s="152">
        <f>'业主收益（租金、节能收益）'!D6/1.05*0.05</f>
        <v>237.190476190476</v>
      </c>
      <c r="F5" s="206">
        <f>-$E$41-SUM($D$4:D5)-SUM($E$4:E5)+SUM($C$4:C5)</f>
        <v>-17418.4925596976</v>
      </c>
      <c r="G5" s="152">
        <f>IF(F5&lt;0,0,F5)</f>
        <v>0</v>
      </c>
      <c r="H5" s="152">
        <f>G5*$L$40</f>
        <v>0</v>
      </c>
      <c r="I5" s="152">
        <f>G5*$L$41</f>
        <v>0</v>
      </c>
      <c r="J5" s="152">
        <f t="shared" ref="J5:J28" si="1">G5*$L$42</f>
        <v>0</v>
      </c>
      <c r="K5" s="152">
        <f t="shared" ref="K5:K28" si="2">SUM(H5:J5)</f>
        <v>0</v>
      </c>
      <c r="L5" s="152">
        <f>($C$41-L4)*(2/10*100%)</f>
        <v>293577.981651376</v>
      </c>
      <c r="M5" s="152">
        <f>'光伏发电衰减表 输入数据'!L7</f>
        <v>0</v>
      </c>
      <c r="N5" s="152">
        <f>'业主收益（租金、节能收益）'!D6/1.05</f>
        <v>4743.80952380952</v>
      </c>
      <c r="O5" s="151">
        <f>'等额本息（融资租赁）'!P11</f>
        <v>102387.152583644</v>
      </c>
      <c r="P5" s="152">
        <f>'光伏发电衰减表 输入数据'!G7-$C$39/1.06-$E$39/1.06-L5-M5-N5-O5-K5</f>
        <v>149284.304943652</v>
      </c>
      <c r="Q5" s="152">
        <f>IF(P5&lt;0,0,P5*$L$43)</f>
        <v>7464.21524718262</v>
      </c>
      <c r="R5" s="224">
        <f t="shared" ref="R4:R33" si="3">G5+K5+Q5</f>
        <v>7464.21524718262</v>
      </c>
    </row>
    <row r="6" customHeight="1" spans="2:18">
      <c r="B6" s="126">
        <v>3</v>
      </c>
      <c r="C6" s="151">
        <f>'光伏发电衰减表 输入数据'!G8*0.13</f>
        <v>75728.3922242722</v>
      </c>
      <c r="D6" s="152">
        <f t="shared" si="0"/>
        <v>2094.33962264151</v>
      </c>
      <c r="E6" s="152">
        <f>'业主收益（租金、节能收益）'!D7/1.05*0.05</f>
        <v>237.190476190476</v>
      </c>
      <c r="F6" s="206">
        <f>-$E$41-SUM($D$4:D6)-SUM($E$4:E6)+SUM($C$4:C6)</f>
        <v>55978.3695657426</v>
      </c>
      <c r="G6" s="152">
        <f t="shared" ref="G6:G28" si="4">IF(F6&lt;0,0,F6)</f>
        <v>55978.3695657426</v>
      </c>
      <c r="H6" s="152">
        <f>G6*$L$40</f>
        <v>1959.24293480099</v>
      </c>
      <c r="I6" s="152">
        <f t="shared" ref="I5:I28" si="5">G6*$L$41</f>
        <v>839.675543486139</v>
      </c>
      <c r="J6" s="152">
        <f t="shared" si="1"/>
        <v>559.783695657426</v>
      </c>
      <c r="K6" s="152">
        <f t="shared" si="2"/>
        <v>3358.70217394456</v>
      </c>
      <c r="L6" s="152">
        <f>($C$41-L5-L4)*(2/10*100%)</f>
        <v>234862.385321101</v>
      </c>
      <c r="M6" s="152">
        <f>'光伏发电衰减表 输入数据'!L8</f>
        <v>0</v>
      </c>
      <c r="N6" s="152">
        <f>'业主收益（租金、节能收益）'!D7/1.05</f>
        <v>4743.80952380952</v>
      </c>
      <c r="O6" s="151">
        <f>'等额本息（融资租赁）'!P12</f>
        <v>89249.3362748852</v>
      </c>
      <c r="P6" s="152">
        <f>'光伏发电衰减表 输入数据'!G8-$C$39/1.06-$E$39/1.06-L6-M6-N6-O6-K6</f>
        <v>215406.200361764</v>
      </c>
      <c r="Q6" s="152">
        <f>IF(P6&lt;0,0,P6*$L$43)</f>
        <v>10770.3100180882</v>
      </c>
      <c r="R6" s="224">
        <f t="shared" si="3"/>
        <v>70107.3817577754</v>
      </c>
    </row>
    <row r="7" customHeight="1" spans="2:18">
      <c r="B7" s="126">
        <v>4</v>
      </c>
      <c r="C7" s="151">
        <f>'光伏发电衰减表 输入数据'!G9*0.13</f>
        <v>75419.9262681652</v>
      </c>
      <c r="D7" s="152">
        <f t="shared" si="0"/>
        <v>2094.33962264151</v>
      </c>
      <c r="E7" s="152">
        <f>'业主收益（租金、节能收益）'!D8/1.05*0.05</f>
        <v>237.190476190476</v>
      </c>
      <c r="F7" s="206">
        <f>-$E$41-SUM($D$4:D7)-SUM($E$4:E7)+SUM($C$4:C7)</f>
        <v>129066.765735076</v>
      </c>
      <c r="G7" s="152">
        <f t="shared" si="4"/>
        <v>129066.765735076</v>
      </c>
      <c r="H7" s="152">
        <f>G7*$L$40</f>
        <v>4517.33680072765</v>
      </c>
      <c r="I7" s="152">
        <f t="shared" si="5"/>
        <v>1936.00148602614</v>
      </c>
      <c r="J7" s="152">
        <f t="shared" si="1"/>
        <v>1290.66765735076</v>
      </c>
      <c r="K7" s="152">
        <f t="shared" si="2"/>
        <v>7744.00594410455</v>
      </c>
      <c r="L7" s="152">
        <f>($C$41-L6-L5-L4)*(2/10*100%)</f>
        <v>187889.908256881</v>
      </c>
      <c r="M7" s="152">
        <f>'光伏发电衰减表 输入数据'!L9</f>
        <v>0</v>
      </c>
      <c r="N7" s="152">
        <f>'业主收益（租金、节能收益）'!D8/1.05</f>
        <v>4743.80952380952</v>
      </c>
      <c r="O7" s="151">
        <f>'等额本息（融资租赁）'!P13</f>
        <v>75301.2082035246</v>
      </c>
      <c r="P7" s="152">
        <f>'光伏发电衰减表 输入数据'!G9-$C$39/1.06-$E$39/1.06-L7-M7-N7-O7-K7</f>
        <v>269568.686680208</v>
      </c>
      <c r="Q7" s="152">
        <f t="shared" ref="Q5:Q28" si="6">IF(P7&lt;0,0,P7*$L$43)</f>
        <v>13478.4343340104</v>
      </c>
      <c r="R7" s="224">
        <f t="shared" si="3"/>
        <v>150289.206013191</v>
      </c>
    </row>
    <row r="8" customHeight="1" spans="2:18">
      <c r="B8" s="126">
        <v>5</v>
      </c>
      <c r="C8" s="151">
        <f>'光伏发电衰减表 输入数据'!G10*0.13</f>
        <v>75111.4603120582</v>
      </c>
      <c r="D8" s="152">
        <f t="shared" si="0"/>
        <v>2094.33962264151</v>
      </c>
      <c r="E8" s="152">
        <f>'业主收益（租金、节能收益）'!D9/1.05*0.05</f>
        <v>237.190476190476</v>
      </c>
      <c r="F8" s="206">
        <f t="shared" ref="F8:F28" si="7">C8-D8-E8</f>
        <v>72779.9302132262</v>
      </c>
      <c r="G8" s="152">
        <f t="shared" si="4"/>
        <v>72779.9302132262</v>
      </c>
      <c r="H8" s="152">
        <f>G8*$L$40</f>
        <v>2547.29755746292</v>
      </c>
      <c r="I8" s="152">
        <f t="shared" si="5"/>
        <v>1091.69895319839</v>
      </c>
      <c r="J8" s="152">
        <f t="shared" si="1"/>
        <v>727.799302132262</v>
      </c>
      <c r="K8" s="152">
        <f t="shared" si="2"/>
        <v>4366.79581279357</v>
      </c>
      <c r="L8" s="152">
        <f>($C$41-L7-L6-L5-L4)*(2/10*100%)</f>
        <v>150311.926605505</v>
      </c>
      <c r="M8" s="152">
        <f>'光伏发电衰减表 输入数据'!L10</f>
        <v>0</v>
      </c>
      <c r="N8" s="152">
        <f>'业主收益（租金、节能收益）'!D9/1.05</f>
        <v>4743.80952380952</v>
      </c>
      <c r="O8" s="151">
        <f>'等额本息（融资租赁）'!P14</f>
        <v>60492.7901131168</v>
      </c>
      <c r="P8" s="152">
        <f>'光伏发电衰减表 输入数据'!G10-$C$39/1.06-$E$39/1.06-L8-M8-N8-O8-K8</f>
        <v>322959.481506326</v>
      </c>
      <c r="Q8" s="152">
        <f t="shared" si="6"/>
        <v>16147.9740753163</v>
      </c>
      <c r="R8" s="224">
        <f t="shared" si="3"/>
        <v>93294.7001013361</v>
      </c>
    </row>
    <row r="9" customHeight="1" spans="2:18">
      <c r="B9" s="126">
        <v>6</v>
      </c>
      <c r="C9" s="151">
        <f>'光伏发电衰减表 输入数据'!G11*0.13</f>
        <v>74802.9943559511</v>
      </c>
      <c r="D9" s="152">
        <f t="shared" si="0"/>
        <v>2094.33962264151</v>
      </c>
      <c r="E9" s="152">
        <f>'业主收益（租金、节能收益）'!D10/1.05*0.05</f>
        <v>237.190476190476</v>
      </c>
      <c r="F9" s="206">
        <f t="shared" si="7"/>
        <v>72471.4642571192</v>
      </c>
      <c r="G9" s="152">
        <f t="shared" si="4"/>
        <v>72471.4642571192</v>
      </c>
      <c r="H9" s="152">
        <f t="shared" ref="H5:H28" si="8">G9*$L$40</f>
        <v>2536.50124899917</v>
      </c>
      <c r="I9" s="152">
        <f t="shared" si="5"/>
        <v>1087.07196385679</v>
      </c>
      <c r="J9" s="152">
        <f t="shared" si="1"/>
        <v>724.714642571192</v>
      </c>
      <c r="K9" s="152">
        <f t="shared" si="2"/>
        <v>4348.28785542715</v>
      </c>
      <c r="L9" s="152">
        <f>($C$41-L8-L7-L6-L5-L4)*(2/10*100%)</f>
        <v>120249.541284404</v>
      </c>
      <c r="M9" s="152">
        <f>'光伏发电衰减表 输入数据'!L11</f>
        <v>0</v>
      </c>
      <c r="N9" s="152">
        <f>'业主收益（租金、节能收益）'!D10/1.05</f>
        <v>4743.80952380952</v>
      </c>
      <c r="O9" s="151">
        <f>'等额本息（融资租赁）'!P15</f>
        <v>44771.021197718</v>
      </c>
      <c r="P9" s="152">
        <f>'光伏发电衰减表 输入数据'!G11-$C$39/1.06-$E$39/1.06-L9-M9-N9-O9-K9</f>
        <v>366389.328653215</v>
      </c>
      <c r="Q9" s="152">
        <f t="shared" si="6"/>
        <v>18319.4664326608</v>
      </c>
      <c r="R9" s="224">
        <f t="shared" si="3"/>
        <v>95139.2185452071</v>
      </c>
    </row>
    <row r="10" customHeight="1" spans="2:18">
      <c r="B10" s="126">
        <v>7</v>
      </c>
      <c r="C10" s="151">
        <f>'光伏发电衰减表 输入数据'!G12*0.13</f>
        <v>74494.5283998441</v>
      </c>
      <c r="D10" s="152">
        <f t="shared" si="0"/>
        <v>2094.33962264151</v>
      </c>
      <c r="E10" s="152">
        <f>'业主收益（租金、节能收益）'!D11/1.05*0.05</f>
        <v>237.190476190476</v>
      </c>
      <c r="F10" s="152">
        <f t="shared" si="7"/>
        <v>72162.9983010122</v>
      </c>
      <c r="G10" s="152">
        <f t="shared" si="4"/>
        <v>72162.9983010122</v>
      </c>
      <c r="H10" s="152">
        <f t="shared" si="8"/>
        <v>2525.70494053543</v>
      </c>
      <c r="I10" s="152">
        <f t="shared" si="5"/>
        <v>1082.44497451518</v>
      </c>
      <c r="J10" s="152">
        <f t="shared" si="1"/>
        <v>721.629983010121</v>
      </c>
      <c r="K10" s="152">
        <f t="shared" si="2"/>
        <v>4329.77989806073</v>
      </c>
      <c r="L10" s="152">
        <f>($C$41-L9-L8-L7-L6-L5-L4)*(2/10*100%)</f>
        <v>96199.6330275229</v>
      </c>
      <c r="M10" s="152">
        <f>'光伏发电衰减表 输入数据'!L12</f>
        <v>0</v>
      </c>
      <c r="N10" s="152">
        <f>'业主收益（租金、节能收益）'!D11/1.05</f>
        <v>4743.80952380952</v>
      </c>
      <c r="O10" s="151">
        <f>'等额本息（融资租赁）'!P16</f>
        <v>28079.567976978</v>
      </c>
      <c r="P10" s="152">
        <f>'光伏发电衰减表 输入数据'!G12-$C$39/1.06-$E$39/1.06-L10-M10-N10-O10-K10</f>
        <v>404776.383041225</v>
      </c>
      <c r="Q10" s="152">
        <f t="shared" si="6"/>
        <v>20238.8191520613</v>
      </c>
      <c r="R10" s="224">
        <f t="shared" si="3"/>
        <v>96731.5973511341</v>
      </c>
    </row>
    <row r="11" customHeight="1" spans="2:18">
      <c r="B11" s="126">
        <v>8</v>
      </c>
      <c r="C11" s="151">
        <f>'光伏发电衰减表 输入数据'!G13*0.13</f>
        <v>74186.0624437371</v>
      </c>
      <c r="D11" s="152">
        <f t="shared" si="0"/>
        <v>2094.33962264151</v>
      </c>
      <c r="E11" s="152">
        <f>'业主收益（租金、节能收益）'!D12/1.05*0.05</f>
        <v>237.190476190476</v>
      </c>
      <c r="F11" s="152">
        <f t="shared" si="7"/>
        <v>71854.5323449051</v>
      </c>
      <c r="G11" s="152">
        <f t="shared" si="4"/>
        <v>71854.5323449051</v>
      </c>
      <c r="H11" s="152">
        <f t="shared" si="8"/>
        <v>2514.90863207168</v>
      </c>
      <c r="I11" s="152">
        <f t="shared" si="5"/>
        <v>1077.81798517358</v>
      </c>
      <c r="J11" s="152">
        <f t="shared" si="1"/>
        <v>718.545323449051</v>
      </c>
      <c r="K11" s="152">
        <f t="shared" si="2"/>
        <v>4311.27194069431</v>
      </c>
      <c r="L11" s="152">
        <f>($C$41-L10-L9-L8-L7-L6-L5-L4)*(2/10*100%)</f>
        <v>76959.7064220183</v>
      </c>
      <c r="M11" s="152">
        <f>'光伏发电衰减表 输入数据'!L13</f>
        <v>0</v>
      </c>
      <c r="N11" s="152">
        <f>'业主收益（租金、节能收益）'!D12/1.05</f>
        <v>4743.80952380952</v>
      </c>
      <c r="O11" s="151">
        <f>'等额本息（融资租赁）'!P17</f>
        <v>10358.6224447442</v>
      </c>
      <c r="P11" s="152">
        <f>'光伏发电衰减表 输入数据'!G13-$C$39/1.06-$E$39/1.06-L11-M11-N11-O11-K11</f>
        <v>439382.948089353</v>
      </c>
      <c r="Q11" s="152">
        <f t="shared" si="6"/>
        <v>21969.1474044677</v>
      </c>
      <c r="R11" s="224">
        <f t="shared" si="3"/>
        <v>98134.9516900671</v>
      </c>
    </row>
    <row r="12" customHeight="1" spans="2:18">
      <c r="B12" s="126">
        <v>9</v>
      </c>
      <c r="C12" s="151">
        <f>'光伏发电衰减表 输入数据'!G14*0.13</f>
        <v>73877.5964876301</v>
      </c>
      <c r="D12" s="152">
        <f t="shared" si="0"/>
        <v>2094.33962264151</v>
      </c>
      <c r="E12" s="152">
        <f>'业主收益（租金、节能收益）'!D13/1.05*0.05</f>
        <v>237.190476190476</v>
      </c>
      <c r="F12" s="152">
        <f t="shared" si="7"/>
        <v>71546.0663887981</v>
      </c>
      <c r="G12" s="152">
        <f t="shared" si="4"/>
        <v>71546.0663887981</v>
      </c>
      <c r="H12" s="152">
        <f t="shared" si="8"/>
        <v>2504.11232360793</v>
      </c>
      <c r="I12" s="152">
        <f t="shared" si="5"/>
        <v>1073.19099583197</v>
      </c>
      <c r="J12" s="152">
        <f t="shared" si="1"/>
        <v>715.460663887981</v>
      </c>
      <c r="K12" s="152">
        <f t="shared" si="2"/>
        <v>4292.76398332789</v>
      </c>
      <c r="L12" s="152">
        <f>(C41-SUM(L4:L11))/2</f>
        <v>153919.412844037</v>
      </c>
      <c r="M12" s="152">
        <f>'光伏发电衰减表 输入数据'!L14</f>
        <v>0</v>
      </c>
      <c r="N12" s="152">
        <f>'业主收益（租金、节能收益）'!D13/1.05</f>
        <v>4743.80952380952</v>
      </c>
      <c r="O12" s="151">
        <f>'等额本息（融资租赁）'!P18</f>
        <v>0</v>
      </c>
      <c r="P12" s="152">
        <f>'光伏发电衰减表 输入数据'!G14-$C$39/1.06-$E$39/1.06-L12-M12-N12-O12-K12</f>
        <v>370427.557022468</v>
      </c>
      <c r="Q12" s="152">
        <f t="shared" si="6"/>
        <v>18521.3778511234</v>
      </c>
      <c r="R12" s="224">
        <f t="shared" si="3"/>
        <v>94360.2082232494</v>
      </c>
    </row>
    <row r="13" customHeight="1" spans="2:18">
      <c r="B13" s="126">
        <v>10</v>
      </c>
      <c r="C13" s="151">
        <f>'光伏发电衰减表 输入数据'!G15*0.13</f>
        <v>73569.1305315231</v>
      </c>
      <c r="D13" s="152">
        <f t="shared" si="0"/>
        <v>2094.33962264151</v>
      </c>
      <c r="E13" s="152">
        <f>'业主收益（租金、节能收益）'!D14/1.05*0.05</f>
        <v>237.190476190476</v>
      </c>
      <c r="F13" s="152">
        <f t="shared" si="7"/>
        <v>71237.6004326911</v>
      </c>
      <c r="G13" s="152">
        <f t="shared" si="4"/>
        <v>71237.6004326911</v>
      </c>
      <c r="H13" s="152">
        <f t="shared" si="8"/>
        <v>2493.31601514419</v>
      </c>
      <c r="I13" s="152">
        <f t="shared" si="5"/>
        <v>1068.56400649037</v>
      </c>
      <c r="J13" s="152">
        <f t="shared" si="1"/>
        <v>712.376004326911</v>
      </c>
      <c r="K13" s="152">
        <f t="shared" si="2"/>
        <v>4274.25602596147</v>
      </c>
      <c r="L13" s="152">
        <f>L12</f>
        <v>153919.412844037</v>
      </c>
      <c r="M13" s="152">
        <f>'光伏发电衰减表 输入数据'!L15</f>
        <v>0</v>
      </c>
      <c r="N13" s="152">
        <f>'业主收益（租金、节能收益）'!D14/1.05</f>
        <v>4743.80952380952</v>
      </c>
      <c r="O13" s="151">
        <f>'等额本息（融资租赁）'!P19</f>
        <v>0</v>
      </c>
      <c r="P13" s="152">
        <f>'光伏发电衰减表 输入数据'!G15-$C$39/1.06-$E$39/1.06-L13-M13-N13-O13-K13</f>
        <v>368073.249932858</v>
      </c>
      <c r="Q13" s="152">
        <f t="shared" si="6"/>
        <v>18403.6624966429</v>
      </c>
      <c r="R13" s="224">
        <f t="shared" si="3"/>
        <v>93915.5189552955</v>
      </c>
    </row>
    <row r="14" customHeight="1" spans="2:18">
      <c r="B14" s="126">
        <v>11</v>
      </c>
      <c r="C14" s="151">
        <f>'光伏发电衰减表 输入数据'!G16*0.13</f>
        <v>73260.6645754161</v>
      </c>
      <c r="D14" s="152">
        <f t="shared" si="0"/>
        <v>2094.33962264151</v>
      </c>
      <c r="E14" s="152">
        <f>'业主收益（租金、节能收益）'!D15/1.05*0.05</f>
        <v>237.190476190476</v>
      </c>
      <c r="F14" s="152">
        <f t="shared" si="7"/>
        <v>70929.1344765841</v>
      </c>
      <c r="G14" s="152">
        <f t="shared" si="4"/>
        <v>70929.1344765841</v>
      </c>
      <c r="H14" s="152">
        <f t="shared" si="8"/>
        <v>2482.51970668044</v>
      </c>
      <c r="I14" s="152">
        <f t="shared" si="5"/>
        <v>1063.93701714876</v>
      </c>
      <c r="J14" s="152">
        <f t="shared" si="1"/>
        <v>709.291344765841</v>
      </c>
      <c r="K14" s="152">
        <f t="shared" si="2"/>
        <v>4255.74806859505</v>
      </c>
      <c r="L14" s="152">
        <v>0</v>
      </c>
      <c r="M14" s="152">
        <f>'光伏发电衰减表 输入数据'!L16</f>
        <v>0</v>
      </c>
      <c r="N14" s="152">
        <f>'业主收益（租金、节能收益）'!D15/1.05</f>
        <v>4743.80952380952</v>
      </c>
      <c r="O14" s="151">
        <f>'等额本息（融资租赁）'!P20</f>
        <v>0</v>
      </c>
      <c r="P14" s="152">
        <f>'光伏发电衰减表 输入数据'!G16-$C$39/1.06-$E$39/1.06-L14-M14-N14-O14-K14</f>
        <v>519638.355687284</v>
      </c>
      <c r="Q14" s="152">
        <f t="shared" si="6"/>
        <v>25981.9177843642</v>
      </c>
      <c r="R14" s="224">
        <f t="shared" si="3"/>
        <v>101166.800329543</v>
      </c>
    </row>
    <row r="15" customHeight="1" spans="2:18">
      <c r="B15" s="126">
        <v>12</v>
      </c>
      <c r="C15" s="151">
        <f>'光伏发电衰减表 输入数据'!G17*0.13</f>
        <v>72952.198619309</v>
      </c>
      <c r="D15" s="152">
        <f t="shared" si="0"/>
        <v>2094.33962264151</v>
      </c>
      <c r="E15" s="152">
        <f>'业主收益（租金、节能收益）'!D16/1.05*0.05</f>
        <v>237.190476190476</v>
      </c>
      <c r="F15" s="152">
        <f t="shared" si="7"/>
        <v>70620.6685204771</v>
      </c>
      <c r="G15" s="152">
        <f t="shared" si="4"/>
        <v>70620.6685204771</v>
      </c>
      <c r="H15" s="152">
        <f t="shared" si="8"/>
        <v>2471.7233982167</v>
      </c>
      <c r="I15" s="152">
        <f t="shared" si="5"/>
        <v>1059.31002780716</v>
      </c>
      <c r="J15" s="152">
        <f t="shared" si="1"/>
        <v>706.206685204771</v>
      </c>
      <c r="K15" s="152">
        <f t="shared" si="2"/>
        <v>4237.24011122862</v>
      </c>
      <c r="L15" s="152">
        <v>0</v>
      </c>
      <c r="M15" s="152">
        <f>'光伏发电衰减表 输入数据'!L17</f>
        <v>0</v>
      </c>
      <c r="N15" s="152">
        <f>'业主收益（租金、节能收益）'!D16/1.05</f>
        <v>4743.80952380952</v>
      </c>
      <c r="O15" s="151">
        <f>'等额本息（融资租赁）'!P21</f>
        <v>0</v>
      </c>
      <c r="P15" s="152">
        <f>'光伏发电衰减表 输入数据'!G17-$C$39/1.06-$E$39/1.06-L15-M15-N15-O15-K15</f>
        <v>517284.048597673</v>
      </c>
      <c r="Q15" s="152">
        <f t="shared" si="6"/>
        <v>25864.2024298836</v>
      </c>
      <c r="R15" s="224">
        <f t="shared" si="3"/>
        <v>100722.111061589</v>
      </c>
    </row>
    <row r="16" customHeight="1" spans="2:18">
      <c r="B16" s="126">
        <v>13</v>
      </c>
      <c r="C16" s="151">
        <f>'光伏发电衰减表 输入数据'!G18*0.13</f>
        <v>72643.732663202</v>
      </c>
      <c r="D16" s="152">
        <f t="shared" si="0"/>
        <v>2094.33962264151</v>
      </c>
      <c r="E16" s="152">
        <f>'业主收益（租金、节能收益）'!D17/1.05*0.05</f>
        <v>237.190476190476</v>
      </c>
      <c r="F16" s="152">
        <f t="shared" si="7"/>
        <v>70312.20256437</v>
      </c>
      <c r="G16" s="152">
        <f t="shared" si="4"/>
        <v>70312.20256437</v>
      </c>
      <c r="H16" s="152">
        <f t="shared" si="8"/>
        <v>2460.92708975295</v>
      </c>
      <c r="I16" s="152">
        <f t="shared" si="5"/>
        <v>1054.68303846555</v>
      </c>
      <c r="J16" s="152">
        <f t="shared" si="1"/>
        <v>703.1220256437</v>
      </c>
      <c r="K16" s="152">
        <f t="shared" si="2"/>
        <v>4218.7321538622</v>
      </c>
      <c r="L16" s="152">
        <v>0</v>
      </c>
      <c r="M16" s="152">
        <f>'光伏发电衰减表 输入数据'!L18</f>
        <v>0</v>
      </c>
      <c r="N16" s="152">
        <f>'业主收益（租金、节能收益）'!D17/1.05</f>
        <v>4743.80952380952</v>
      </c>
      <c r="O16" s="151">
        <f>'等额本息（融资租赁）'!P22</f>
        <v>0</v>
      </c>
      <c r="P16" s="152">
        <f>'光伏发电衰减表 输入数据'!G18-$C$39/1.06-$E$39/1.06-L16-M16-N16-O16-K16</f>
        <v>514929.741508062</v>
      </c>
      <c r="Q16" s="152">
        <f t="shared" si="6"/>
        <v>25746.4870754031</v>
      </c>
      <c r="R16" s="224">
        <f t="shared" si="3"/>
        <v>100277.421793635</v>
      </c>
    </row>
    <row r="17" customHeight="1" spans="2:18">
      <c r="B17" s="126">
        <v>14</v>
      </c>
      <c r="C17" s="151">
        <f>'光伏发电衰减表 输入数据'!G19*0.13</f>
        <v>72335.266707095</v>
      </c>
      <c r="D17" s="152">
        <f t="shared" si="0"/>
        <v>2094.33962264151</v>
      </c>
      <c r="E17" s="152">
        <f>'业主收益（租金、节能收益）'!D18/1.05*0.05</f>
        <v>237.190476190476</v>
      </c>
      <c r="F17" s="152">
        <f t="shared" si="7"/>
        <v>70003.736608263</v>
      </c>
      <c r="G17" s="152">
        <f t="shared" si="4"/>
        <v>70003.736608263</v>
      </c>
      <c r="H17" s="152">
        <f t="shared" si="8"/>
        <v>2450.13078128921</v>
      </c>
      <c r="I17" s="152">
        <f t="shared" si="5"/>
        <v>1050.05604912395</v>
      </c>
      <c r="J17" s="152">
        <f t="shared" si="1"/>
        <v>700.03736608263</v>
      </c>
      <c r="K17" s="152">
        <f t="shared" si="2"/>
        <v>4200.22419649578</v>
      </c>
      <c r="L17" s="152">
        <v>0</v>
      </c>
      <c r="M17" s="152">
        <f>'光伏发电衰减表 输入数据'!L19</f>
        <v>0</v>
      </c>
      <c r="N17" s="152">
        <f>'业主收益（租金、节能收益）'!D18/1.05</f>
        <v>4743.80952380952</v>
      </c>
      <c r="O17" s="151">
        <f>'等额本息（融资租赁）'!P23</f>
        <v>0</v>
      </c>
      <c r="P17" s="152">
        <f>'光伏发电衰减表 输入数据'!G19-$C$39/1.06-$E$39/1.06-L17-M17-N17-O17-K17</f>
        <v>512575.434418452</v>
      </c>
      <c r="Q17" s="152">
        <f t="shared" si="6"/>
        <v>25628.7717209226</v>
      </c>
      <c r="R17" s="224">
        <f t="shared" si="3"/>
        <v>99832.7325256814</v>
      </c>
    </row>
    <row r="18" customHeight="1" spans="2:18">
      <c r="B18" s="126">
        <v>15</v>
      </c>
      <c r="C18" s="151">
        <f>'光伏发电衰减表 输入数据'!G20*0.13</f>
        <v>72026.800750988</v>
      </c>
      <c r="D18" s="152">
        <f t="shared" si="0"/>
        <v>2094.33962264151</v>
      </c>
      <c r="E18" s="152">
        <f>'业主收益（租金、节能收益）'!D19/1.05*0.05</f>
        <v>237.190476190476</v>
      </c>
      <c r="F18" s="152">
        <f t="shared" si="7"/>
        <v>69695.270652156</v>
      </c>
      <c r="G18" s="152">
        <f t="shared" si="4"/>
        <v>69695.270652156</v>
      </c>
      <c r="H18" s="152">
        <f t="shared" si="8"/>
        <v>2439.33447282546</v>
      </c>
      <c r="I18" s="152">
        <f t="shared" si="5"/>
        <v>1045.42905978234</v>
      </c>
      <c r="J18" s="152">
        <f t="shared" si="1"/>
        <v>696.95270652156</v>
      </c>
      <c r="K18" s="152">
        <f t="shared" si="2"/>
        <v>4181.71623912936</v>
      </c>
      <c r="L18" s="152">
        <v>0</v>
      </c>
      <c r="M18" s="152">
        <f>'光伏发电衰减表 输入数据'!L20</f>
        <v>0</v>
      </c>
      <c r="N18" s="152">
        <f>'业主收益（租金、节能收益）'!D19/1.05</f>
        <v>4743.80952380952</v>
      </c>
      <c r="O18" s="151">
        <f>'等额本息（融资租赁）'!P24</f>
        <v>0</v>
      </c>
      <c r="P18" s="152">
        <f>'光伏发电衰减表 输入数据'!G20-$C$39/1.06-$E$39/1.06-L18-M18-N18-O18-K18</f>
        <v>510221.127328841</v>
      </c>
      <c r="Q18" s="152">
        <f t="shared" si="6"/>
        <v>25511.0563664421</v>
      </c>
      <c r="R18" s="224">
        <f t="shared" si="3"/>
        <v>99388.0432577274</v>
      </c>
    </row>
    <row r="19" customHeight="1" spans="2:18">
      <c r="B19" s="126">
        <v>16</v>
      </c>
      <c r="C19" s="151">
        <f>'光伏发电衰减表 输入数据'!G21*0.13</f>
        <v>71718.334794881</v>
      </c>
      <c r="D19" s="152">
        <f t="shared" si="0"/>
        <v>2094.33962264151</v>
      </c>
      <c r="E19" s="152">
        <f>'业主收益（租金、节能收益）'!D20/1.05*0.05</f>
        <v>237.190476190476</v>
      </c>
      <c r="F19" s="152">
        <f t="shared" si="7"/>
        <v>69386.804696049</v>
      </c>
      <c r="G19" s="152">
        <f t="shared" si="4"/>
        <v>69386.804696049</v>
      </c>
      <c r="H19" s="152">
        <f t="shared" si="8"/>
        <v>2428.53816436172</v>
      </c>
      <c r="I19" s="152">
        <f t="shared" si="5"/>
        <v>1040.80207044074</v>
      </c>
      <c r="J19" s="152">
        <f t="shared" si="1"/>
        <v>693.86804696049</v>
      </c>
      <c r="K19" s="152">
        <f t="shared" si="2"/>
        <v>4163.20828176294</v>
      </c>
      <c r="L19" s="152">
        <v>0</v>
      </c>
      <c r="M19" s="152">
        <f>'光伏发电衰减表 输入数据'!L21</f>
        <v>0</v>
      </c>
      <c r="N19" s="152">
        <f>'业主收益（租金、节能收益）'!D20/1.05</f>
        <v>4743.80952380952</v>
      </c>
      <c r="O19" s="151">
        <f>'等额本息（融资租赁）'!P25</f>
        <v>0</v>
      </c>
      <c r="P19" s="152">
        <f>'光伏发电衰减表 输入数据'!G21-$C$39/1.06-$E$39/1.06-L19-M19-N19-O19-K19</f>
        <v>507866.82023923</v>
      </c>
      <c r="Q19" s="152">
        <f t="shared" si="6"/>
        <v>25393.3410119615</v>
      </c>
      <c r="R19" s="224">
        <f t="shared" si="3"/>
        <v>98943.3539897735</v>
      </c>
    </row>
    <row r="20" customHeight="1" spans="2:18">
      <c r="B20" s="126">
        <v>17</v>
      </c>
      <c r="C20" s="151">
        <f>'光伏发电衰减表 输入数据'!G22*0.13</f>
        <v>71409.868838774</v>
      </c>
      <c r="D20" s="152">
        <f t="shared" si="0"/>
        <v>2094.33962264151</v>
      </c>
      <c r="E20" s="152">
        <f>'业主收益（租金、节能收益）'!D21/1.05*0.05</f>
        <v>237.190476190476</v>
      </c>
      <c r="F20" s="152">
        <f t="shared" si="7"/>
        <v>69078.338739942</v>
      </c>
      <c r="G20" s="152">
        <f t="shared" si="4"/>
        <v>69078.338739942</v>
      </c>
      <c r="H20" s="152">
        <f t="shared" si="8"/>
        <v>2417.74185589797</v>
      </c>
      <c r="I20" s="152">
        <f t="shared" si="5"/>
        <v>1036.17508109913</v>
      </c>
      <c r="J20" s="152">
        <f t="shared" si="1"/>
        <v>690.78338739942</v>
      </c>
      <c r="K20" s="152">
        <f t="shared" si="2"/>
        <v>4144.70032439652</v>
      </c>
      <c r="L20" s="152">
        <v>0</v>
      </c>
      <c r="M20" s="152">
        <f>'光伏发电衰减表 输入数据'!L22</f>
        <v>0</v>
      </c>
      <c r="N20" s="152">
        <f>'业主收益（租金、节能收益）'!D21/1.05</f>
        <v>4743.80952380952</v>
      </c>
      <c r="O20" s="151">
        <f>'等额本息（融资租赁）'!P26</f>
        <v>0</v>
      </c>
      <c r="P20" s="152">
        <f>'光伏发电衰减表 输入数据'!G22-$C$39/1.06-$E$39/1.06-L20-M20-N20-O20-K20</f>
        <v>505512.51314962</v>
      </c>
      <c r="Q20" s="152">
        <f t="shared" si="6"/>
        <v>25275.625657481</v>
      </c>
      <c r="R20" s="224">
        <f t="shared" si="3"/>
        <v>98498.6647218195</v>
      </c>
    </row>
    <row r="21" customHeight="1" spans="2:18">
      <c r="B21" s="126">
        <v>18</v>
      </c>
      <c r="C21" s="151">
        <f>'光伏发电衰减表 输入数据'!G23*0.13</f>
        <v>71101.402882667</v>
      </c>
      <c r="D21" s="152">
        <f t="shared" si="0"/>
        <v>2094.33962264151</v>
      </c>
      <c r="E21" s="152">
        <f>'业主收益（租金、节能收益）'!D22/1.05*0.05</f>
        <v>237.190476190476</v>
      </c>
      <c r="F21" s="152">
        <f t="shared" si="7"/>
        <v>68769.872783835</v>
      </c>
      <c r="G21" s="152">
        <f t="shared" si="4"/>
        <v>68769.872783835</v>
      </c>
      <c r="H21" s="152">
        <f t="shared" si="8"/>
        <v>2406.94554743422</v>
      </c>
      <c r="I21" s="152">
        <f t="shared" si="5"/>
        <v>1031.54809175752</v>
      </c>
      <c r="J21" s="152">
        <f t="shared" si="1"/>
        <v>687.69872783835</v>
      </c>
      <c r="K21" s="152">
        <f t="shared" si="2"/>
        <v>4126.1923670301</v>
      </c>
      <c r="L21" s="152">
        <v>0</v>
      </c>
      <c r="M21" s="152">
        <f>'光伏发电衰减表 输入数据'!L23</f>
        <v>0</v>
      </c>
      <c r="N21" s="152">
        <f>'业主收益（租金、节能收益）'!D22/1.05</f>
        <v>4743.80952380952</v>
      </c>
      <c r="O21" s="151">
        <f>'等额本息（融资租赁）'!P27</f>
        <v>0</v>
      </c>
      <c r="P21" s="152">
        <f>'光伏发电衰减表 输入数据'!G23-$C$39/1.06-$E$39/1.06-L21-M21-N21-O21-K21</f>
        <v>503158.206060009</v>
      </c>
      <c r="Q21" s="152">
        <f t="shared" si="6"/>
        <v>25157.9103030005</v>
      </c>
      <c r="R21" s="224">
        <f t="shared" si="3"/>
        <v>98053.9754538656</v>
      </c>
    </row>
    <row r="22" customHeight="1" spans="2:18">
      <c r="B22" s="126">
        <v>19</v>
      </c>
      <c r="C22" s="151">
        <f>'光伏发电衰减表 输入数据'!G24*0.13</f>
        <v>70792.93692656</v>
      </c>
      <c r="D22" s="152">
        <f t="shared" si="0"/>
        <v>2094.33962264151</v>
      </c>
      <c r="E22" s="152">
        <f>'业主收益（租金、节能收益）'!D23/1.05*0.05</f>
        <v>237.190476190476</v>
      </c>
      <c r="F22" s="152">
        <f t="shared" si="7"/>
        <v>68461.406827728</v>
      </c>
      <c r="G22" s="152">
        <f t="shared" si="4"/>
        <v>68461.406827728</v>
      </c>
      <c r="H22" s="152">
        <f t="shared" si="8"/>
        <v>2396.14923897048</v>
      </c>
      <c r="I22" s="152">
        <f t="shared" si="5"/>
        <v>1026.92110241592</v>
      </c>
      <c r="J22" s="152">
        <f t="shared" si="1"/>
        <v>684.61406827728</v>
      </c>
      <c r="K22" s="152">
        <f t="shared" si="2"/>
        <v>4107.68440966368</v>
      </c>
      <c r="L22" s="152">
        <v>0</v>
      </c>
      <c r="M22" s="152">
        <f>'光伏发电衰减表 输入数据'!L24</f>
        <v>0</v>
      </c>
      <c r="N22" s="152">
        <f>'业主收益（租金、节能收益）'!D23/1.05</f>
        <v>4743.80952380952</v>
      </c>
      <c r="O22" s="151">
        <f>'等额本息（融资租赁）'!P28</f>
        <v>0</v>
      </c>
      <c r="P22" s="152">
        <f>'光伏发电衰减表 输入数据'!G24-$C$39/1.06-$E$39/1.06-L22-M22-N22-O22-K22</f>
        <v>500803.898970399</v>
      </c>
      <c r="Q22" s="152">
        <f t="shared" si="6"/>
        <v>25040.1949485199</v>
      </c>
      <c r="R22" s="224">
        <f t="shared" si="3"/>
        <v>97609.2861859116</v>
      </c>
    </row>
    <row r="23" customHeight="1" spans="2:18">
      <c r="B23" s="126">
        <v>20</v>
      </c>
      <c r="C23" s="151">
        <f>'光伏发电衰减表 输入数据'!G25*0.13</f>
        <v>70484.4709704529</v>
      </c>
      <c r="D23" s="152">
        <f t="shared" si="0"/>
        <v>2094.33962264151</v>
      </c>
      <c r="E23" s="152">
        <f>'业主收益（租金、节能收益）'!D24/1.05*0.05</f>
        <v>237.190476190476</v>
      </c>
      <c r="F23" s="152">
        <f t="shared" si="7"/>
        <v>68152.940871621</v>
      </c>
      <c r="G23" s="152">
        <f t="shared" si="4"/>
        <v>68152.940871621</v>
      </c>
      <c r="H23" s="152">
        <f t="shared" si="8"/>
        <v>2385.35293050673</v>
      </c>
      <c r="I23" s="152">
        <f t="shared" si="5"/>
        <v>1022.29411307431</v>
      </c>
      <c r="J23" s="152">
        <f t="shared" si="1"/>
        <v>681.52940871621</v>
      </c>
      <c r="K23" s="152">
        <f t="shared" si="2"/>
        <v>4089.17645229726</v>
      </c>
      <c r="L23" s="152">
        <v>0</v>
      </c>
      <c r="M23" s="152">
        <f>'光伏发电衰减表 输入数据'!L25</f>
        <v>0</v>
      </c>
      <c r="N23" s="152">
        <f>'业主收益（租金、节能收益）'!D24/1.05</f>
        <v>4743.80952380952</v>
      </c>
      <c r="O23" s="151">
        <f>'等额本息（融资租赁）'!P29</f>
        <v>0</v>
      </c>
      <c r="P23" s="152">
        <f>'光伏发电衰减表 输入数据'!G25-$C$39/1.06-$E$39/1.06-L23-M23-N23-O23-K23</f>
        <v>498449.591880788</v>
      </c>
      <c r="Q23" s="152">
        <f t="shared" si="6"/>
        <v>24922.4795940394</v>
      </c>
      <c r="R23" s="224">
        <f t="shared" si="3"/>
        <v>97164.5969179576</v>
      </c>
    </row>
    <row r="24" customHeight="1" spans="2:18">
      <c r="B24" s="126">
        <v>21</v>
      </c>
      <c r="C24" s="151">
        <f>'光伏发电衰减表 输入数据'!G26*0.13</f>
        <v>70176.0050143459</v>
      </c>
      <c r="D24" s="152">
        <f t="shared" si="0"/>
        <v>2094.33962264151</v>
      </c>
      <c r="E24" s="152">
        <f>'业主收益（租金、节能收益）'!D25/1.05*0.05</f>
        <v>237.190476190476</v>
      </c>
      <c r="F24" s="152">
        <f t="shared" si="7"/>
        <v>67844.4749155139</v>
      </c>
      <c r="G24" s="152">
        <f t="shared" si="4"/>
        <v>67844.4749155139</v>
      </c>
      <c r="H24" s="152">
        <f t="shared" si="8"/>
        <v>2374.55662204299</v>
      </c>
      <c r="I24" s="152">
        <f t="shared" si="5"/>
        <v>1017.66712373271</v>
      </c>
      <c r="J24" s="152">
        <f t="shared" si="1"/>
        <v>678.444749155139</v>
      </c>
      <c r="K24" s="152">
        <f t="shared" si="2"/>
        <v>4070.66849493084</v>
      </c>
      <c r="L24" s="152">
        <v>0</v>
      </c>
      <c r="M24" s="152">
        <f>'光伏发电衰减表 输入数据'!L26</f>
        <v>0</v>
      </c>
      <c r="N24" s="152">
        <f>'业主收益（租金、节能收益）'!D25/1.05</f>
        <v>4743.80952380952</v>
      </c>
      <c r="O24" s="151">
        <f>'等额本息（融资租赁）'!P30</f>
        <v>0</v>
      </c>
      <c r="P24" s="152">
        <f>'光伏发电衰减表 输入数据'!G26-$C$39/1.06-$E$39/1.06-L24-M24-N24-O24-K24</f>
        <v>496095.284791177</v>
      </c>
      <c r="Q24" s="152">
        <f t="shared" si="6"/>
        <v>24804.7642395589</v>
      </c>
      <c r="R24" s="224">
        <f t="shared" si="3"/>
        <v>96719.9076500037</v>
      </c>
    </row>
    <row r="25" customHeight="1" spans="2:18">
      <c r="B25" s="126">
        <v>22</v>
      </c>
      <c r="C25" s="151">
        <f>'光伏发电衰减表 输入数据'!G27*0.13</f>
        <v>69867.5390582389</v>
      </c>
      <c r="D25" s="152">
        <f t="shared" si="0"/>
        <v>2094.33962264151</v>
      </c>
      <c r="E25" s="152">
        <f>'业主收益（租金、节能收益）'!D26/1.05*0.05</f>
        <v>237.190476190476</v>
      </c>
      <c r="F25" s="152">
        <f t="shared" si="7"/>
        <v>67536.0089594069</v>
      </c>
      <c r="G25" s="152">
        <f t="shared" si="4"/>
        <v>67536.0089594069</v>
      </c>
      <c r="H25" s="152">
        <f t="shared" si="8"/>
        <v>2363.76031357924</v>
      </c>
      <c r="I25" s="152">
        <f t="shared" si="5"/>
        <v>1013.0401343911</v>
      </c>
      <c r="J25" s="152">
        <f t="shared" si="1"/>
        <v>675.360089594069</v>
      </c>
      <c r="K25" s="152">
        <f t="shared" si="2"/>
        <v>4052.16053756442</v>
      </c>
      <c r="L25" s="152">
        <v>0</v>
      </c>
      <c r="M25" s="152">
        <f>'光伏发电衰减表 输入数据'!L27</f>
        <v>0</v>
      </c>
      <c r="N25" s="152">
        <f>'业主收益（租金、节能收益）'!D26/1.05</f>
        <v>4743.80952380952</v>
      </c>
      <c r="O25" s="151">
        <f>'等额本息（融资租赁）'!P31</f>
        <v>0</v>
      </c>
      <c r="P25" s="152">
        <f>'光伏发电衰减表 输入数据'!G27-$C$39/1.06-$E$39/1.06-L25-M25-N25-O25-K25</f>
        <v>493740.977701567</v>
      </c>
      <c r="Q25" s="152">
        <f t="shared" si="6"/>
        <v>24687.0488850783</v>
      </c>
      <c r="R25" s="224">
        <f t="shared" si="3"/>
        <v>96275.2183820497</v>
      </c>
    </row>
    <row r="26" customHeight="1" spans="2:18">
      <c r="B26" s="126">
        <v>23</v>
      </c>
      <c r="C26" s="151">
        <f>'光伏发电衰减表 输入数据'!G28*0.13</f>
        <v>69559.0731021319</v>
      </c>
      <c r="D26" s="152">
        <f t="shared" si="0"/>
        <v>2094.33962264151</v>
      </c>
      <c r="E26" s="152">
        <f>'业主收益（租金、节能收益）'!D27/1.05*0.05</f>
        <v>237.190476190476</v>
      </c>
      <c r="F26" s="152">
        <f t="shared" si="7"/>
        <v>67227.5430032999</v>
      </c>
      <c r="G26" s="152">
        <f t="shared" si="4"/>
        <v>67227.5430032999</v>
      </c>
      <c r="H26" s="152">
        <f t="shared" si="8"/>
        <v>2352.9640051155</v>
      </c>
      <c r="I26" s="152">
        <f t="shared" si="5"/>
        <v>1008.4131450495</v>
      </c>
      <c r="J26" s="152">
        <f t="shared" si="1"/>
        <v>672.275430032999</v>
      </c>
      <c r="K26" s="152">
        <f t="shared" si="2"/>
        <v>4033.652580198</v>
      </c>
      <c r="L26" s="152">
        <v>0</v>
      </c>
      <c r="M26" s="152">
        <f>'光伏发电衰减表 输入数据'!L28</f>
        <v>0</v>
      </c>
      <c r="N26" s="152">
        <f>'业主收益（租金、节能收益）'!D27/1.05</f>
        <v>4743.80952380952</v>
      </c>
      <c r="O26" s="151">
        <f>'等额本息（融资租赁）'!P32</f>
        <v>0</v>
      </c>
      <c r="P26" s="152">
        <f>'光伏发电衰减表 输入数据'!G28-$C$39/1.06-$E$39/1.06-L26-M26-N26-O26-K26</f>
        <v>491386.670611956</v>
      </c>
      <c r="Q26" s="152">
        <f t="shared" si="6"/>
        <v>24569.3335305978</v>
      </c>
      <c r="R26" s="224">
        <f t="shared" si="3"/>
        <v>95830.5291140957</v>
      </c>
    </row>
    <row r="27" customHeight="1" spans="2:18">
      <c r="B27" s="126">
        <v>24</v>
      </c>
      <c r="C27" s="151">
        <f>'光伏发电衰减表 输入数据'!G29*0.13</f>
        <v>69250.6071460249</v>
      </c>
      <c r="D27" s="152">
        <f t="shared" si="0"/>
        <v>2094.33962264151</v>
      </c>
      <c r="E27" s="152">
        <f>'业主收益（租金、节能收益）'!D28/1.05*0.05</f>
        <v>237.190476190476</v>
      </c>
      <c r="F27" s="152">
        <f t="shared" si="7"/>
        <v>66919.0770471929</v>
      </c>
      <c r="G27" s="152">
        <f t="shared" si="4"/>
        <v>66919.0770471929</v>
      </c>
      <c r="H27" s="152">
        <f t="shared" si="8"/>
        <v>2342.16769665175</v>
      </c>
      <c r="I27" s="152">
        <f t="shared" si="5"/>
        <v>1003.78615570789</v>
      </c>
      <c r="J27" s="152">
        <f t="shared" si="1"/>
        <v>669.190770471929</v>
      </c>
      <c r="K27" s="152">
        <f t="shared" si="2"/>
        <v>4015.14462283157</v>
      </c>
      <c r="L27" s="152">
        <v>0</v>
      </c>
      <c r="M27" s="152">
        <f>'光伏发电衰减表 输入数据'!L29</f>
        <v>0</v>
      </c>
      <c r="N27" s="152">
        <f>'业主收益（租金、节能收益）'!D28/1.05</f>
        <v>4743.80952380952</v>
      </c>
      <c r="O27" s="151">
        <f>'等额本息（融资租赁）'!P33</f>
        <v>0</v>
      </c>
      <c r="P27" s="152">
        <f>'光伏发电衰减表 输入数据'!G29-$C$39/1.06-$E$39/1.06-L27-M27-N27-O27-K27</f>
        <v>489032.363522346</v>
      </c>
      <c r="Q27" s="152">
        <f t="shared" si="6"/>
        <v>24451.6181761173</v>
      </c>
      <c r="R27" s="224">
        <f t="shared" si="3"/>
        <v>95385.8398461418</v>
      </c>
    </row>
    <row r="28" customHeight="1" spans="2:18">
      <c r="B28" s="126">
        <v>25</v>
      </c>
      <c r="C28" s="151">
        <f>'光伏发电衰减表 输入数据'!G30*0.13</f>
        <v>68942.1411899178</v>
      </c>
      <c r="D28" s="152">
        <f t="shared" si="0"/>
        <v>2094.33962264151</v>
      </c>
      <c r="E28" s="152">
        <f>'业主收益（租金、节能收益）'!D29/1.05*0.05</f>
        <v>237.190476190476</v>
      </c>
      <c r="F28" s="152">
        <f t="shared" si="7"/>
        <v>66610.6110910859</v>
      </c>
      <c r="G28" s="152">
        <f t="shared" si="4"/>
        <v>66610.6110910859</v>
      </c>
      <c r="H28" s="152">
        <f t="shared" si="8"/>
        <v>2331.37138818801</v>
      </c>
      <c r="I28" s="152">
        <f t="shared" si="5"/>
        <v>999.159166366288</v>
      </c>
      <c r="J28" s="152">
        <f t="shared" si="1"/>
        <v>666.106110910859</v>
      </c>
      <c r="K28" s="152">
        <f t="shared" si="2"/>
        <v>3996.63666546515</v>
      </c>
      <c r="L28" s="152">
        <v>0</v>
      </c>
      <c r="M28" s="152">
        <f>'光伏发电衰减表 输入数据'!L30</f>
        <v>0</v>
      </c>
      <c r="N28" s="152">
        <f>'业主收益（租金、节能收益）'!D29/1.05</f>
        <v>4743.80952380952</v>
      </c>
      <c r="O28" s="151">
        <f>'等额本息（融资租赁）'!P34</f>
        <v>0</v>
      </c>
      <c r="P28" s="152">
        <f>'光伏发电衰减表 输入数据'!G30-$C$39/1.06-$E$39/1.06-L28-M28-N28-O28-K28</f>
        <v>486678.056432735</v>
      </c>
      <c r="Q28" s="152">
        <f t="shared" si="6"/>
        <v>24333.9028216367</v>
      </c>
      <c r="R28" s="224">
        <f t="shared" si="3"/>
        <v>94941.1505781878</v>
      </c>
    </row>
    <row r="29" hidden="1" customHeight="1" spans="2:18">
      <c r="B29" s="126"/>
      <c r="C29" s="151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1"/>
      <c r="Q29" s="152"/>
      <c r="R29" s="224">
        <f t="shared" si="3"/>
        <v>0</v>
      </c>
    </row>
    <row r="30" hidden="1" customHeight="1" spans="2:18">
      <c r="B30" s="126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1"/>
      <c r="Q30" s="152"/>
      <c r="R30" s="224">
        <f t="shared" si="3"/>
        <v>0</v>
      </c>
    </row>
    <row r="31" hidden="1" customHeight="1" spans="2:18">
      <c r="B31" s="126"/>
      <c r="C31" s="151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1"/>
      <c r="Q31" s="152"/>
      <c r="R31" s="224">
        <f t="shared" si="3"/>
        <v>0</v>
      </c>
    </row>
    <row r="32" hidden="1" customHeight="1" spans="2:18">
      <c r="B32" s="126"/>
      <c r="C32" s="151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1"/>
      <c r="Q32" s="152"/>
      <c r="R32" s="224">
        <f t="shared" si="3"/>
        <v>0</v>
      </c>
    </row>
    <row r="33" hidden="1" customHeight="1" spans="2:18">
      <c r="B33" s="126"/>
      <c r="C33" s="151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1"/>
      <c r="Q33" s="152"/>
      <c r="R33" s="224">
        <f t="shared" si="3"/>
        <v>0</v>
      </c>
    </row>
    <row r="34" customHeight="1" spans="2:18">
      <c r="B34" s="148" t="s">
        <v>34</v>
      </c>
      <c r="C34" s="207"/>
      <c r="D34" s="149"/>
      <c r="E34" s="149"/>
      <c r="F34" s="208" t="s">
        <v>128</v>
      </c>
      <c r="G34" s="209">
        <f>SUM(G4:G33)</f>
        <v>1648645.8189961</v>
      </c>
      <c r="J34" s="213" t="s">
        <v>129</v>
      </c>
      <c r="K34" s="213">
        <f>SUM(K4:K28)</f>
        <v>98918.7491397657</v>
      </c>
      <c r="L34" s="155"/>
      <c r="M34" s="152">
        <f>SUM(M4:M28)</f>
        <v>0</v>
      </c>
      <c r="N34" s="152"/>
      <c r="O34" s="155">
        <f>SUM(O4:O11)</f>
        <v>523125.07378229</v>
      </c>
      <c r="P34" s="214" t="s">
        <v>130</v>
      </c>
      <c r="Q34" s="225">
        <f>SUM(Q4:Q28)</f>
        <v>526090.281665248</v>
      </c>
      <c r="R34" s="224">
        <f>SUM(R4:R28)</f>
        <v>2273654.84980111</v>
      </c>
    </row>
    <row r="35" customHeight="1" spans="4:17">
      <c r="D35" s="145"/>
      <c r="E35" s="145"/>
      <c r="G35" s="145"/>
      <c r="H35" s="145"/>
      <c r="I35" s="145"/>
      <c r="J35" s="145"/>
      <c r="K35" s="145"/>
      <c r="L35" s="145"/>
      <c r="N35" s="145"/>
      <c r="O35" s="215"/>
      <c r="P35" s="145"/>
      <c r="Q35" s="145"/>
    </row>
    <row r="36" customHeight="1" spans="4:16">
      <c r="D36" s="145"/>
      <c r="E36" s="145"/>
      <c r="G36" s="145"/>
      <c r="H36" s="145"/>
      <c r="I36" s="145"/>
      <c r="J36" s="145"/>
      <c r="K36" s="145"/>
      <c r="L36" s="145"/>
      <c r="M36" s="145"/>
      <c r="N36" s="215"/>
      <c r="O36" s="145"/>
      <c r="P36" s="145"/>
    </row>
    <row r="37" customHeight="1" spans="4:16">
      <c r="D37" s="145"/>
      <c r="E37" s="145"/>
      <c r="G37" s="145"/>
      <c r="H37" s="145"/>
      <c r="I37" s="145" t="s">
        <v>131</v>
      </c>
      <c r="J37" s="145"/>
      <c r="K37" s="145"/>
      <c r="L37" s="145"/>
      <c r="M37" s="145"/>
      <c r="N37" s="145"/>
      <c r="O37" s="145"/>
      <c r="P37" s="145"/>
    </row>
    <row r="38" customHeight="1" spans="2:13">
      <c r="B38" s="126" t="s">
        <v>132</v>
      </c>
      <c r="C38" s="151">
        <f>基础数据!H7</f>
        <v>2000000</v>
      </c>
      <c r="I38" s="126" t="s">
        <v>133</v>
      </c>
      <c r="J38" s="126"/>
      <c r="K38" s="126" t="s">
        <v>134</v>
      </c>
      <c r="L38" s="126" t="s">
        <v>135</v>
      </c>
      <c r="M38" s="126" t="s">
        <v>136</v>
      </c>
    </row>
    <row r="39" customHeight="1" spans="2:13">
      <c r="B39" s="126" t="s">
        <v>97</v>
      </c>
      <c r="C39" s="151">
        <f>基础数据!J29</f>
        <v>30000</v>
      </c>
      <c r="D39" s="126" t="s">
        <v>98</v>
      </c>
      <c r="E39" s="151">
        <f>基础数据!J27</f>
        <v>7000</v>
      </c>
      <c r="I39" s="216" t="s">
        <v>137</v>
      </c>
      <c r="J39" s="155" t="s">
        <v>138</v>
      </c>
      <c r="K39" s="217">
        <v>0.09</v>
      </c>
      <c r="L39" s="218">
        <f>K39</f>
        <v>0.09</v>
      </c>
      <c r="M39" s="126" t="s">
        <v>139</v>
      </c>
    </row>
    <row r="40" customHeight="1" spans="9:13">
      <c r="I40" s="219"/>
      <c r="J40" s="155" t="s">
        <v>140</v>
      </c>
      <c r="K40" s="217">
        <v>0.07</v>
      </c>
      <c r="L40" s="218">
        <f>K40*0.5</f>
        <v>0.035</v>
      </c>
      <c r="M40" s="220" t="s">
        <v>141</v>
      </c>
    </row>
    <row r="41" customHeight="1" spans="2:13">
      <c r="B41" s="126" t="s">
        <v>142</v>
      </c>
      <c r="C41" s="151">
        <f>C38/1.09</f>
        <v>1834862.3853211</v>
      </c>
      <c r="D41" s="155" t="s">
        <v>143</v>
      </c>
      <c r="E41" s="151">
        <f>C38/1.09*0.09</f>
        <v>165137.614678899</v>
      </c>
      <c r="I41" s="219"/>
      <c r="J41" s="155" t="s">
        <v>144</v>
      </c>
      <c r="K41" s="217">
        <v>0.03</v>
      </c>
      <c r="L41" s="218">
        <f t="shared" ref="L41:L42" si="9">K41*0.5</f>
        <v>0.015</v>
      </c>
      <c r="M41" s="220"/>
    </row>
    <row r="42" customHeight="1" spans="9:13">
      <c r="I42" s="221"/>
      <c r="J42" s="155" t="s">
        <v>123</v>
      </c>
      <c r="K42" s="217">
        <v>0.02</v>
      </c>
      <c r="L42" s="218">
        <f t="shared" si="9"/>
        <v>0.01</v>
      </c>
      <c r="M42" s="220"/>
    </row>
    <row r="43" customHeight="1" spans="9:13">
      <c r="I43" s="126" t="s">
        <v>145</v>
      </c>
      <c r="J43" s="155" t="s">
        <v>146</v>
      </c>
      <c r="K43" s="217">
        <v>0.25</v>
      </c>
      <c r="L43" s="218">
        <v>0.05</v>
      </c>
      <c r="M43" s="126" t="s">
        <v>147</v>
      </c>
    </row>
    <row r="44" customHeight="1" spans="11:11">
      <c r="K44" s="222"/>
    </row>
    <row r="45" customHeight="1" spans="2:6">
      <c r="B45" s="210" t="s">
        <v>148</v>
      </c>
      <c r="C45" s="210"/>
      <c r="D45" s="210"/>
      <c r="E45" s="210"/>
      <c r="F45" s="210"/>
    </row>
    <row r="46" customHeight="1" spans="2:6">
      <c r="B46" s="210"/>
      <c r="C46" s="210"/>
      <c r="D46" s="210"/>
      <c r="E46" s="210"/>
      <c r="F46" s="210"/>
    </row>
  </sheetData>
  <mergeCells count="6">
    <mergeCell ref="F2:G2"/>
    <mergeCell ref="B34:D34"/>
    <mergeCell ref="I38:J38"/>
    <mergeCell ref="I39:I42"/>
    <mergeCell ref="M40:M42"/>
    <mergeCell ref="B45:F4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6"/>
  <sheetViews>
    <sheetView zoomScale="85" zoomScaleNormal="85" workbookViewId="0">
      <pane xSplit="7" ySplit="8" topLeftCell="H9" activePane="bottomRight" state="frozen"/>
      <selection/>
      <selection pane="topRight"/>
      <selection pane="bottomLeft"/>
      <selection pane="bottomRight" activeCell="P19" sqref="P19"/>
    </sheetView>
  </sheetViews>
  <sheetFormatPr defaultColWidth="21.0916666666667" defaultRowHeight="13.5"/>
  <cols>
    <col min="1" max="1" width="15" style="159" customWidth="1"/>
    <col min="2" max="2" width="20.175" style="159" customWidth="1"/>
    <col min="3" max="3" width="21.8166666666667" style="159" customWidth="1"/>
    <col min="4" max="4" width="17.625" style="159" customWidth="1"/>
    <col min="5" max="5" width="18.9083333333333" style="159" customWidth="1"/>
    <col min="6" max="6" width="20.175" style="159" customWidth="1"/>
    <col min="7" max="7" width="12.625" style="159" customWidth="1"/>
    <col min="8" max="8" width="1.9" style="159" customWidth="1"/>
    <col min="9" max="9" width="18.375" style="159" customWidth="1"/>
    <col min="10" max="10" width="21.0916666666667" style="159"/>
    <col min="11" max="12" width="21.0916666666667" style="160"/>
    <col min="13" max="13" width="17" style="160" customWidth="1"/>
    <col min="14" max="14" width="12.625" style="160" customWidth="1"/>
    <col min="15" max="15" width="5.875" style="160" customWidth="1"/>
    <col min="16" max="16" width="21.0916666666667" style="161"/>
    <col min="17" max="17" width="18.375" style="159" customWidth="1"/>
    <col min="18" max="18" width="21.0916666666667" style="159"/>
    <col min="19" max="20" width="21.0916666666667" style="160"/>
    <col min="21" max="21" width="17" style="160" customWidth="1"/>
    <col min="22" max="22" width="12.625" style="160" customWidth="1"/>
    <col min="23" max="23" width="0.141666666666667" style="159" customWidth="1"/>
    <col min="24" max="16384" width="21.0916666666667" style="159"/>
  </cols>
  <sheetData>
    <row r="1" s="158" customFormat="1" ht="30" customHeight="1" spans="1:22">
      <c r="A1" s="162" t="s">
        <v>149</v>
      </c>
      <c r="B1" s="163"/>
      <c r="C1" s="163"/>
      <c r="D1" s="163"/>
      <c r="E1" s="163"/>
      <c r="F1" s="163"/>
      <c r="I1" s="162" t="s">
        <v>150</v>
      </c>
      <c r="J1" s="163"/>
      <c r="K1" s="178"/>
      <c r="L1" s="178"/>
      <c r="M1" s="178"/>
      <c r="N1" s="178"/>
      <c r="O1" s="179"/>
      <c r="P1" s="180"/>
      <c r="Q1" s="162" t="s">
        <v>151</v>
      </c>
      <c r="R1" s="163"/>
      <c r="S1" s="178"/>
      <c r="T1" s="178"/>
      <c r="U1" s="178"/>
      <c r="V1" s="178"/>
    </row>
    <row r="2" ht="23" customHeight="1" spans="1:22">
      <c r="A2" s="164" t="s">
        <v>152</v>
      </c>
      <c r="B2" s="164" t="s">
        <v>153</v>
      </c>
      <c r="C2" s="164" t="s">
        <v>154</v>
      </c>
      <c r="D2" s="164" t="s">
        <v>154</v>
      </c>
      <c r="E2" s="164" t="s">
        <v>154</v>
      </c>
      <c r="F2" s="165" t="s">
        <v>155</v>
      </c>
      <c r="I2" s="164" t="s">
        <v>152</v>
      </c>
      <c r="J2" s="164" t="s">
        <v>153</v>
      </c>
      <c r="K2" s="181">
        <f>PMT(L6/12,N3,N4)</f>
        <v>-26282.8604202788</v>
      </c>
      <c r="L2" s="182">
        <f>K2*N3</f>
        <v>-2523154.60034677</v>
      </c>
      <c r="M2" s="182">
        <v>1258285.36</v>
      </c>
      <c r="N2" s="183" t="s">
        <v>155</v>
      </c>
      <c r="O2" s="184"/>
      <c r="Q2" s="164" t="s">
        <v>152</v>
      </c>
      <c r="R2" s="164" t="s">
        <v>153</v>
      </c>
      <c r="S2" s="181">
        <f>PMT(T6,V3,V4)</f>
        <v>-292168.837398864</v>
      </c>
      <c r="T2" s="182"/>
      <c r="U2" s="182"/>
      <c r="V2" s="183" t="s">
        <v>155</v>
      </c>
    </row>
    <row r="3" ht="23" customHeight="1" spans="1:22">
      <c r="A3" s="166" t="s">
        <v>156</v>
      </c>
      <c r="B3" s="167" t="s">
        <v>157</v>
      </c>
      <c r="C3" s="166" t="s">
        <v>158</v>
      </c>
      <c r="D3" s="168" t="s">
        <v>153</v>
      </c>
      <c r="E3" s="166" t="s">
        <v>159</v>
      </c>
      <c r="F3" s="169">
        <v>96</v>
      </c>
      <c r="I3" s="166" t="s">
        <v>156</v>
      </c>
      <c r="J3" s="167" t="s">
        <v>157</v>
      </c>
      <c r="K3" s="185" t="s">
        <v>158</v>
      </c>
      <c r="L3" s="186" t="s">
        <v>153</v>
      </c>
      <c r="M3" s="185" t="s">
        <v>159</v>
      </c>
      <c r="N3" s="187">
        <v>96</v>
      </c>
      <c r="O3" s="188"/>
      <c r="Q3" s="166" t="s">
        <v>156</v>
      </c>
      <c r="R3" s="167" t="s">
        <v>157</v>
      </c>
      <c r="S3" s="185" t="s">
        <v>158</v>
      </c>
      <c r="T3" s="186" t="s">
        <v>153</v>
      </c>
      <c r="U3" s="185" t="s">
        <v>160</v>
      </c>
      <c r="V3" s="187">
        <v>8</v>
      </c>
    </row>
    <row r="4" ht="23" customHeight="1" spans="1:22">
      <c r="A4" s="166" t="s">
        <v>161</v>
      </c>
      <c r="B4" s="170">
        <v>1000000</v>
      </c>
      <c r="C4" s="166" t="s">
        <v>162</v>
      </c>
      <c r="D4" s="170">
        <v>0</v>
      </c>
      <c r="E4" s="166" t="s">
        <v>163</v>
      </c>
      <c r="F4" s="170">
        <v>1000000</v>
      </c>
      <c r="I4" s="166" t="s">
        <v>161</v>
      </c>
      <c r="J4" s="170">
        <v>1000000</v>
      </c>
      <c r="K4" s="185" t="s">
        <v>162</v>
      </c>
      <c r="L4" s="189">
        <v>0</v>
      </c>
      <c r="M4" s="185" t="s">
        <v>163</v>
      </c>
      <c r="N4" s="187">
        <f>基础数据!H7</f>
        <v>2000000</v>
      </c>
      <c r="O4" s="188"/>
      <c r="Q4" s="166" t="s">
        <v>161</v>
      </c>
      <c r="R4" s="170"/>
      <c r="S4" s="185" t="s">
        <v>162</v>
      </c>
      <c r="T4" s="189">
        <v>0</v>
      </c>
      <c r="U4" s="185" t="s">
        <v>163</v>
      </c>
      <c r="V4" s="187">
        <f>基础数据!H7</f>
        <v>2000000</v>
      </c>
    </row>
    <row r="5" ht="23" customHeight="1" spans="1:22">
      <c r="A5" s="166" t="s">
        <v>164</v>
      </c>
      <c r="B5" s="171">
        <v>0.0654</v>
      </c>
      <c r="C5" s="166" t="s">
        <v>165</v>
      </c>
      <c r="D5" s="170">
        <v>0</v>
      </c>
      <c r="E5" s="166" t="s">
        <v>166</v>
      </c>
      <c r="F5" s="170">
        <v>50000</v>
      </c>
      <c r="I5" s="166" t="s">
        <v>164</v>
      </c>
      <c r="J5" s="171">
        <v>0.0654</v>
      </c>
      <c r="K5" s="185" t="s">
        <v>165</v>
      </c>
      <c r="L5" s="189">
        <v>0</v>
      </c>
      <c r="M5" s="185" t="s">
        <v>166</v>
      </c>
      <c r="N5" s="189"/>
      <c r="O5" s="188"/>
      <c r="Q5" s="166" t="s">
        <v>164</v>
      </c>
      <c r="R5" s="171"/>
      <c r="S5" s="185" t="s">
        <v>165</v>
      </c>
      <c r="T5" s="189">
        <v>0</v>
      </c>
      <c r="U5" s="185" t="s">
        <v>166</v>
      </c>
      <c r="V5" s="189"/>
    </row>
    <row r="6" ht="23" customHeight="1" spans="1:22">
      <c r="A6" s="166" t="s">
        <v>167</v>
      </c>
      <c r="B6" s="170">
        <v>0</v>
      </c>
      <c r="C6" s="166" t="s">
        <v>168</v>
      </c>
      <c r="D6" s="172">
        <v>0.06</v>
      </c>
      <c r="E6" s="166" t="s">
        <v>169</v>
      </c>
      <c r="F6" s="170">
        <v>100</v>
      </c>
      <c r="I6" s="166" t="s">
        <v>167</v>
      </c>
      <c r="J6" s="170">
        <v>0</v>
      </c>
      <c r="K6" s="185" t="s">
        <v>168</v>
      </c>
      <c r="L6" s="190">
        <v>0.06</v>
      </c>
      <c r="M6" s="185" t="s">
        <v>169</v>
      </c>
      <c r="N6" s="189">
        <v>100</v>
      </c>
      <c r="O6" s="188"/>
      <c r="P6" s="191"/>
      <c r="Q6" s="166" t="s">
        <v>167</v>
      </c>
      <c r="R6" s="170">
        <v>0</v>
      </c>
      <c r="S6" s="185" t="s">
        <v>168</v>
      </c>
      <c r="T6" s="190">
        <v>0.036</v>
      </c>
      <c r="U6" s="185" t="s">
        <v>169</v>
      </c>
      <c r="V6" s="189">
        <v>100</v>
      </c>
    </row>
    <row r="7" ht="23" customHeight="1" spans="1:22">
      <c r="A7" s="166" t="s">
        <v>170</v>
      </c>
      <c r="B7" s="173">
        <v>45495</v>
      </c>
      <c r="C7" s="166" t="s">
        <v>171</v>
      </c>
      <c r="D7" s="172">
        <v>0.0385</v>
      </c>
      <c r="E7" s="166" t="s">
        <v>172</v>
      </c>
      <c r="F7" s="172">
        <v>0.0215</v>
      </c>
      <c r="G7" s="159">
        <f>D105/E105/8</f>
        <v>0.03228567</v>
      </c>
      <c r="I7" s="166" t="s">
        <v>170</v>
      </c>
      <c r="J7" s="173">
        <v>45495</v>
      </c>
      <c r="K7" s="185" t="s">
        <v>171</v>
      </c>
      <c r="L7" s="192">
        <v>0.0385</v>
      </c>
      <c r="M7" s="185" t="s">
        <v>172</v>
      </c>
      <c r="N7" s="192">
        <v>0.0215</v>
      </c>
      <c r="O7" s="193"/>
      <c r="P7" s="194">
        <f>L105/K105/8</f>
        <v>0.0259165250673691</v>
      </c>
      <c r="Q7" s="166" t="s">
        <v>170</v>
      </c>
      <c r="R7" s="173">
        <v>45495</v>
      </c>
      <c r="S7" s="185" t="s">
        <v>171</v>
      </c>
      <c r="T7" s="192">
        <v>0.0385</v>
      </c>
      <c r="U7" s="185" t="s">
        <v>172</v>
      </c>
      <c r="V7" s="192">
        <v>0.0215</v>
      </c>
    </row>
    <row r="8" ht="23" customHeight="1" spans="1:22">
      <c r="A8" s="174" t="s">
        <v>173</v>
      </c>
      <c r="B8" s="174" t="s">
        <v>174</v>
      </c>
      <c r="C8" s="174" t="s">
        <v>175</v>
      </c>
      <c r="D8" s="174" t="s">
        <v>176</v>
      </c>
      <c r="E8" s="174" t="s">
        <v>177</v>
      </c>
      <c r="F8" s="174" t="s">
        <v>178</v>
      </c>
      <c r="I8" s="174" t="s">
        <v>173</v>
      </c>
      <c r="J8" s="174" t="s">
        <v>174</v>
      </c>
      <c r="K8" s="195" t="s">
        <v>175</v>
      </c>
      <c r="L8" s="195" t="s">
        <v>176</v>
      </c>
      <c r="M8" s="195" t="s">
        <v>177</v>
      </c>
      <c r="N8" s="195" t="s">
        <v>178</v>
      </c>
      <c r="O8" s="196"/>
      <c r="Q8" s="174" t="s">
        <v>173</v>
      </c>
      <c r="R8" s="174" t="s">
        <v>174</v>
      </c>
      <c r="S8" s="195" t="s">
        <v>175</v>
      </c>
      <c r="T8" s="195" t="s">
        <v>176</v>
      </c>
      <c r="U8" s="195" t="s">
        <v>177</v>
      </c>
      <c r="V8" s="195" t="s">
        <v>178</v>
      </c>
    </row>
    <row r="9" ht="23" customHeight="1" spans="1:30">
      <c r="A9" s="175">
        <v>1</v>
      </c>
      <c r="B9" s="176">
        <v>45514</v>
      </c>
      <c r="C9" s="177">
        <v>9808.1</v>
      </c>
      <c r="D9" s="177">
        <v>1666.67</v>
      </c>
      <c r="E9" s="177">
        <v>8141.43</v>
      </c>
      <c r="F9" s="177">
        <v>991858.57</v>
      </c>
      <c r="I9" s="159">
        <v>1</v>
      </c>
      <c r="J9" s="176">
        <v>45514</v>
      </c>
      <c r="K9" s="160">
        <f>-K2/31*24</f>
        <v>20348.0209705385</v>
      </c>
      <c r="L9" s="160">
        <f>$N$4*$L$6/12/31*24</f>
        <v>7741.93548387097</v>
      </c>
      <c r="M9" s="160">
        <f>K9-L9</f>
        <v>12606.0854866675</v>
      </c>
      <c r="N9" s="160">
        <f>N4-M9</f>
        <v>1987393.91451333</v>
      </c>
      <c r="O9" s="160" t="s">
        <v>70</v>
      </c>
      <c r="P9" s="161" t="s">
        <v>179</v>
      </c>
      <c r="Q9" s="198">
        <v>1</v>
      </c>
      <c r="R9" s="176">
        <v>45514</v>
      </c>
      <c r="S9" s="199">
        <f>-$S$2</f>
        <v>292168.837398864</v>
      </c>
      <c r="T9" s="199">
        <f>V4*T6</f>
        <v>72000</v>
      </c>
      <c r="U9" s="199">
        <f>S9-T9</f>
        <v>220168.837398864</v>
      </c>
      <c r="V9" s="199">
        <f>V4-U9</f>
        <v>1779831.16260114</v>
      </c>
      <c r="W9" s="200"/>
      <c r="X9" s="200"/>
      <c r="Y9" s="200"/>
      <c r="Z9" s="200"/>
      <c r="AA9" s="200"/>
      <c r="AB9" s="200"/>
      <c r="AC9" s="200"/>
      <c r="AD9" s="200"/>
    </row>
    <row r="10" ht="23" customHeight="1" spans="1:25">
      <c r="A10" s="175">
        <v>2</v>
      </c>
      <c r="B10" s="176">
        <v>45545</v>
      </c>
      <c r="C10" s="177">
        <v>13141.43</v>
      </c>
      <c r="D10" s="177">
        <v>4959.29</v>
      </c>
      <c r="E10" s="177">
        <v>8182.14</v>
      </c>
      <c r="F10" s="177">
        <v>983676.43</v>
      </c>
      <c r="I10" s="159">
        <v>2</v>
      </c>
      <c r="J10" s="176">
        <v>45545</v>
      </c>
      <c r="K10" s="160">
        <f>-K2</f>
        <v>26282.8604202788</v>
      </c>
      <c r="L10" s="160">
        <f t="shared" ref="L10:L73" si="0">N9*$L$6/12</f>
        <v>9936.96957256666</v>
      </c>
      <c r="M10" s="160">
        <f t="shared" ref="M9:M72" si="1">K10-L10</f>
        <v>16345.8908477122</v>
      </c>
      <c r="N10" s="160">
        <f t="shared" ref="N10:N73" si="2">N9-M10</f>
        <v>1971048.02366562</v>
      </c>
      <c r="O10" s="197">
        <v>1</v>
      </c>
      <c r="P10" s="161">
        <f>SUM(L9:L20)</f>
        <v>112485.374987679</v>
      </c>
      <c r="Q10" s="198">
        <v>2</v>
      </c>
      <c r="R10" s="176">
        <v>45879</v>
      </c>
      <c r="S10" s="199">
        <f t="shared" ref="S10:S16" si="3">-$S$2</f>
        <v>292168.837398864</v>
      </c>
      <c r="T10" s="199">
        <f t="shared" ref="T10:T16" si="4">V9*$T$6</f>
        <v>64073.9218536409</v>
      </c>
      <c r="U10" s="199">
        <f t="shared" ref="U9:U16" si="5">S10-T10</f>
        <v>228094.915545223</v>
      </c>
      <c r="V10" s="199">
        <f t="shared" ref="V10:V16" si="6">V9-U10</f>
        <v>1551736.24705591</v>
      </c>
      <c r="W10" s="200">
        <v>40.9795056</v>
      </c>
      <c r="Y10" s="200"/>
    </row>
    <row r="11" ht="23" customHeight="1" spans="1:25">
      <c r="A11" s="175">
        <v>3</v>
      </c>
      <c r="B11" s="176">
        <v>45575</v>
      </c>
      <c r="C11" s="177">
        <v>13141.43</v>
      </c>
      <c r="D11" s="177">
        <v>4918.38</v>
      </c>
      <c r="E11" s="177">
        <v>8223.05</v>
      </c>
      <c r="F11" s="177">
        <v>975453.38</v>
      </c>
      <c r="I11" s="159">
        <v>3</v>
      </c>
      <c r="J11" s="176">
        <v>45575</v>
      </c>
      <c r="K11" s="160">
        <f t="shared" ref="K11:K74" si="7">K10</f>
        <v>26282.8604202788</v>
      </c>
      <c r="L11" s="160">
        <f t="shared" si="0"/>
        <v>9855.2401183281</v>
      </c>
      <c r="M11" s="160">
        <f t="shared" si="1"/>
        <v>16427.6203019507</v>
      </c>
      <c r="N11" s="160">
        <f t="shared" si="2"/>
        <v>1954620.40336367</v>
      </c>
      <c r="O11" s="197">
        <v>2</v>
      </c>
      <c r="P11" s="161">
        <f>SUM(L21:L32)</f>
        <v>102387.152583644</v>
      </c>
      <c r="Q11" s="198">
        <v>3</v>
      </c>
      <c r="R11" s="176">
        <v>46244</v>
      </c>
      <c r="S11" s="199">
        <f t="shared" si="3"/>
        <v>292168.837398864</v>
      </c>
      <c r="T11" s="199">
        <f t="shared" si="4"/>
        <v>55862.5048940129</v>
      </c>
      <c r="U11" s="199">
        <f t="shared" si="5"/>
        <v>236306.332504851</v>
      </c>
      <c r="V11" s="199">
        <f t="shared" si="6"/>
        <v>1315429.91455106</v>
      </c>
      <c r="W11" s="200">
        <v>35.8570674</v>
      </c>
      <c r="Y11" s="200"/>
    </row>
    <row r="12" ht="23" customHeight="1" spans="1:25">
      <c r="A12" s="175">
        <v>4</v>
      </c>
      <c r="B12" s="176">
        <v>45606</v>
      </c>
      <c r="C12" s="177">
        <v>13141.43</v>
      </c>
      <c r="D12" s="177">
        <v>4877.27</v>
      </c>
      <c r="E12" s="177">
        <v>8264.16</v>
      </c>
      <c r="F12" s="177">
        <v>967189.22</v>
      </c>
      <c r="I12" s="159">
        <v>4</v>
      </c>
      <c r="J12" s="176">
        <v>45606</v>
      </c>
      <c r="K12" s="160">
        <f t="shared" si="7"/>
        <v>26282.8604202788</v>
      </c>
      <c r="L12" s="160">
        <f t="shared" si="0"/>
        <v>9773.10201681835</v>
      </c>
      <c r="M12" s="160">
        <f t="shared" si="1"/>
        <v>16509.7584034605</v>
      </c>
      <c r="N12" s="160">
        <f t="shared" si="2"/>
        <v>1938110.64496021</v>
      </c>
      <c r="O12" s="197">
        <v>3</v>
      </c>
      <c r="P12" s="161">
        <f>SUM(L33:L44)</f>
        <v>89249.3362748852</v>
      </c>
      <c r="Q12" s="198">
        <v>4</v>
      </c>
      <c r="R12" s="176">
        <v>46609</v>
      </c>
      <c r="S12" s="199">
        <f t="shared" si="3"/>
        <v>292168.837398864</v>
      </c>
      <c r="T12" s="199">
        <f t="shared" si="4"/>
        <v>47355.4769238383</v>
      </c>
      <c r="U12" s="199">
        <f t="shared" si="5"/>
        <v>244813.360475025</v>
      </c>
      <c r="V12" s="199">
        <f t="shared" si="6"/>
        <v>1070616.55407604</v>
      </c>
      <c r="W12" s="200">
        <v>30.7346292</v>
      </c>
      <c r="Y12" s="200"/>
    </row>
    <row r="13" ht="23" customHeight="1" spans="1:25">
      <c r="A13" s="175">
        <v>5</v>
      </c>
      <c r="B13" s="176">
        <v>45636</v>
      </c>
      <c r="C13" s="177">
        <v>13141.43</v>
      </c>
      <c r="D13" s="177">
        <v>4835.95</v>
      </c>
      <c r="E13" s="177">
        <v>8305.48</v>
      </c>
      <c r="F13" s="177">
        <v>958883.74</v>
      </c>
      <c r="I13" s="159">
        <v>5</v>
      </c>
      <c r="J13" s="176">
        <v>45636</v>
      </c>
      <c r="K13" s="160">
        <f t="shared" si="7"/>
        <v>26282.8604202788</v>
      </c>
      <c r="L13" s="160">
        <f t="shared" si="0"/>
        <v>9690.55322480104</v>
      </c>
      <c r="M13" s="160">
        <f t="shared" si="1"/>
        <v>16592.3071954778</v>
      </c>
      <c r="N13" s="160">
        <f t="shared" si="2"/>
        <v>1921518.33776473</v>
      </c>
      <c r="O13" s="197">
        <v>4</v>
      </c>
      <c r="P13" s="161">
        <f>SUM(L45:L56)</f>
        <v>75301.2082035246</v>
      </c>
      <c r="Q13" s="198">
        <v>5</v>
      </c>
      <c r="R13" s="176">
        <v>46975</v>
      </c>
      <c r="S13" s="199">
        <f t="shared" si="3"/>
        <v>292168.837398864</v>
      </c>
      <c r="T13" s="199">
        <f t="shared" si="4"/>
        <v>38542.1959467373</v>
      </c>
      <c r="U13" s="199">
        <f t="shared" si="5"/>
        <v>253626.641452126</v>
      </c>
      <c r="V13" s="199">
        <f t="shared" si="6"/>
        <v>816989.912623911</v>
      </c>
      <c r="W13" s="200">
        <v>25.612191</v>
      </c>
      <c r="Y13" s="200"/>
    </row>
    <row r="14" ht="23" customHeight="1" spans="1:25">
      <c r="A14" s="175">
        <v>6</v>
      </c>
      <c r="B14" s="176">
        <v>45667</v>
      </c>
      <c r="C14" s="177">
        <v>13141.43</v>
      </c>
      <c r="D14" s="177">
        <v>4794.42</v>
      </c>
      <c r="E14" s="177">
        <v>8347.01</v>
      </c>
      <c r="F14" s="177">
        <v>950536.73</v>
      </c>
      <c r="I14" s="159">
        <v>6</v>
      </c>
      <c r="J14" s="176">
        <v>45667</v>
      </c>
      <c r="K14" s="160">
        <f t="shared" si="7"/>
        <v>26282.8604202788</v>
      </c>
      <c r="L14" s="160">
        <f t="shared" si="0"/>
        <v>9607.59168882366</v>
      </c>
      <c r="M14" s="160">
        <f t="shared" si="1"/>
        <v>16675.2687314552</v>
      </c>
      <c r="N14" s="160">
        <f t="shared" si="2"/>
        <v>1904843.06903328</v>
      </c>
      <c r="O14" s="197">
        <v>5</v>
      </c>
      <c r="P14" s="161">
        <f>SUM(L57:L68)</f>
        <v>60492.7901131168</v>
      </c>
      <c r="Q14" s="198">
        <v>6</v>
      </c>
      <c r="R14" s="176">
        <v>47340</v>
      </c>
      <c r="S14" s="199">
        <f t="shared" si="3"/>
        <v>292168.837398864</v>
      </c>
      <c r="T14" s="199">
        <f t="shared" si="4"/>
        <v>29411.6368544608</v>
      </c>
      <c r="U14" s="199">
        <f t="shared" si="5"/>
        <v>262757.200544403</v>
      </c>
      <c r="V14" s="199">
        <f t="shared" si="6"/>
        <v>554232.712079508</v>
      </c>
      <c r="W14" s="200">
        <v>20.4897528</v>
      </c>
      <c r="Y14" s="200"/>
    </row>
    <row r="15" ht="23" customHeight="1" spans="1:25">
      <c r="A15" s="175">
        <v>7</v>
      </c>
      <c r="B15" s="176">
        <v>45698</v>
      </c>
      <c r="C15" s="177">
        <v>13141.43</v>
      </c>
      <c r="D15" s="177">
        <v>4752.68</v>
      </c>
      <c r="E15" s="177">
        <v>8388.75</v>
      </c>
      <c r="F15" s="177">
        <v>942147.98</v>
      </c>
      <c r="I15" s="159">
        <v>7</v>
      </c>
      <c r="J15" s="176">
        <v>45698</v>
      </c>
      <c r="K15" s="160">
        <f t="shared" si="7"/>
        <v>26282.8604202788</v>
      </c>
      <c r="L15" s="160">
        <f t="shared" si="0"/>
        <v>9524.21534516638</v>
      </c>
      <c r="M15" s="160">
        <f t="shared" si="1"/>
        <v>16758.6450751125</v>
      </c>
      <c r="N15" s="160">
        <f t="shared" si="2"/>
        <v>1888084.42395816</v>
      </c>
      <c r="O15" s="197">
        <v>6</v>
      </c>
      <c r="P15" s="161">
        <f>SUM(L69:L80)</f>
        <v>44771.021197718</v>
      </c>
      <c r="Q15" s="198">
        <v>7</v>
      </c>
      <c r="R15" s="176">
        <v>47705</v>
      </c>
      <c r="S15" s="199">
        <f t="shared" si="3"/>
        <v>292168.837398864</v>
      </c>
      <c r="T15" s="199">
        <f t="shared" si="4"/>
        <v>19952.3776348623</v>
      </c>
      <c r="U15" s="199">
        <f t="shared" si="5"/>
        <v>272216.459764001</v>
      </c>
      <c r="V15" s="199">
        <f t="shared" si="6"/>
        <v>282016.252315507</v>
      </c>
      <c r="W15" s="200">
        <v>15.3673146</v>
      </c>
      <c r="Y15" s="200"/>
    </row>
    <row r="16" ht="23" customHeight="1" spans="1:25">
      <c r="A16" s="175">
        <v>8</v>
      </c>
      <c r="B16" s="176">
        <v>45726</v>
      </c>
      <c r="C16" s="177">
        <v>13141.43</v>
      </c>
      <c r="D16" s="177">
        <v>4710.74</v>
      </c>
      <c r="E16" s="177">
        <v>8430.69</v>
      </c>
      <c r="F16" s="177">
        <v>933717.29</v>
      </c>
      <c r="I16" s="159">
        <v>8</v>
      </c>
      <c r="J16" s="176">
        <v>45726</v>
      </c>
      <c r="K16" s="160">
        <f t="shared" si="7"/>
        <v>26282.8604202788</v>
      </c>
      <c r="L16" s="160">
        <f t="shared" si="0"/>
        <v>9440.42211979082</v>
      </c>
      <c r="M16" s="160">
        <f t="shared" si="1"/>
        <v>16842.438300488</v>
      </c>
      <c r="N16" s="160">
        <f t="shared" si="2"/>
        <v>1871241.98565768</v>
      </c>
      <c r="O16" s="197">
        <v>7</v>
      </c>
      <c r="P16" s="161">
        <f>SUM(L81:L92)</f>
        <v>28079.567976978</v>
      </c>
      <c r="Q16" s="198">
        <v>8</v>
      </c>
      <c r="R16" s="176">
        <v>48070</v>
      </c>
      <c r="S16" s="199">
        <f t="shared" si="3"/>
        <v>292168.837398864</v>
      </c>
      <c r="T16" s="199">
        <f t="shared" si="4"/>
        <v>10152.5850833582</v>
      </c>
      <c r="U16" s="199">
        <f t="shared" si="5"/>
        <v>282016.252315505</v>
      </c>
      <c r="V16" s="199">
        <f t="shared" si="6"/>
        <v>1.51339918375015e-9</v>
      </c>
      <c r="W16" s="200">
        <v>10.2448764</v>
      </c>
      <c r="Y16" s="200"/>
    </row>
    <row r="17" ht="23" customHeight="1" spans="1:23">
      <c r="A17" s="175">
        <v>9</v>
      </c>
      <c r="B17" s="176">
        <v>45757</v>
      </c>
      <c r="C17" s="177">
        <v>13141.43</v>
      </c>
      <c r="D17" s="177">
        <v>4668.59</v>
      </c>
      <c r="E17" s="177">
        <v>8472.84</v>
      </c>
      <c r="F17" s="177">
        <v>925244.45</v>
      </c>
      <c r="I17" s="159">
        <v>9</v>
      </c>
      <c r="J17" s="176">
        <v>45757</v>
      </c>
      <c r="K17" s="160">
        <f t="shared" si="7"/>
        <v>26282.8604202788</v>
      </c>
      <c r="L17" s="160">
        <f t="shared" si="0"/>
        <v>9356.20992828838</v>
      </c>
      <c r="M17" s="160">
        <f t="shared" si="1"/>
        <v>16926.6504919905</v>
      </c>
      <c r="N17" s="160">
        <f t="shared" si="2"/>
        <v>1854315.33516569</v>
      </c>
      <c r="O17" s="197">
        <v>8</v>
      </c>
      <c r="P17" s="161">
        <f>SUM(L93:L104)</f>
        <v>10358.6224447442</v>
      </c>
      <c r="Q17" s="201"/>
      <c r="R17" s="201" t="s">
        <v>34</v>
      </c>
      <c r="S17" s="201">
        <f t="shared" ref="S17:U17" si="8">SUM(S9:S16)</f>
        <v>2337350.69919091</v>
      </c>
      <c r="T17" s="201">
        <f t="shared" si="8"/>
        <v>337350.699190911</v>
      </c>
      <c r="U17" s="201">
        <f t="shared" si="8"/>
        <v>2000000</v>
      </c>
      <c r="V17" s="201"/>
      <c r="W17" s="200">
        <v>5.1224382</v>
      </c>
    </row>
    <row r="18" ht="23" customHeight="1" spans="1:22">
      <c r="A18" s="175">
        <v>10</v>
      </c>
      <c r="B18" s="176">
        <v>45787</v>
      </c>
      <c r="C18" s="177">
        <v>13141.43</v>
      </c>
      <c r="D18" s="177">
        <v>4626.22</v>
      </c>
      <c r="E18" s="177">
        <v>8515.21</v>
      </c>
      <c r="F18" s="177">
        <v>916729.24</v>
      </c>
      <c r="I18" s="159">
        <v>10</v>
      </c>
      <c r="J18" s="176">
        <v>45787</v>
      </c>
      <c r="K18" s="160">
        <f t="shared" si="7"/>
        <v>26282.8604202788</v>
      </c>
      <c r="L18" s="160">
        <f t="shared" si="0"/>
        <v>9271.57667582842</v>
      </c>
      <c r="M18" s="160">
        <f t="shared" si="1"/>
        <v>17011.2837444504</v>
      </c>
      <c r="N18" s="160">
        <f t="shared" si="2"/>
        <v>1837304.05142123</v>
      </c>
      <c r="S18" s="159"/>
      <c r="T18" s="159"/>
      <c r="U18" s="159"/>
      <c r="V18" s="159"/>
    </row>
    <row r="19" ht="23" customHeight="1" spans="1:22">
      <c r="A19" s="175">
        <v>11</v>
      </c>
      <c r="B19" s="176">
        <v>45818</v>
      </c>
      <c r="C19" s="177">
        <v>13141.43</v>
      </c>
      <c r="D19" s="177">
        <v>4583.65</v>
      </c>
      <c r="E19" s="177">
        <v>8557.78</v>
      </c>
      <c r="F19" s="177">
        <v>908171.46</v>
      </c>
      <c r="I19" s="159">
        <v>11</v>
      </c>
      <c r="J19" s="176">
        <v>45818</v>
      </c>
      <c r="K19" s="160">
        <f t="shared" si="7"/>
        <v>26282.8604202788</v>
      </c>
      <c r="L19" s="160">
        <f t="shared" si="0"/>
        <v>9186.52025710617</v>
      </c>
      <c r="M19" s="160">
        <f t="shared" si="1"/>
        <v>17096.3401631727</v>
      </c>
      <c r="N19" s="160">
        <f t="shared" si="2"/>
        <v>1820207.71125806</v>
      </c>
      <c r="S19" s="159"/>
      <c r="T19" s="159"/>
      <c r="U19" s="159"/>
      <c r="V19" s="159"/>
    </row>
    <row r="20" ht="23" customHeight="1" spans="1:22">
      <c r="A20" s="175">
        <v>12</v>
      </c>
      <c r="B20" s="176">
        <v>45848</v>
      </c>
      <c r="C20" s="177">
        <v>13141.43</v>
      </c>
      <c r="D20" s="177">
        <v>4540.86</v>
      </c>
      <c r="E20" s="177">
        <v>8600.57</v>
      </c>
      <c r="F20" s="177">
        <v>899570.89</v>
      </c>
      <c r="I20" s="159">
        <v>12</v>
      </c>
      <c r="J20" s="176">
        <v>45848</v>
      </c>
      <c r="K20" s="160">
        <f t="shared" si="7"/>
        <v>26282.8604202788</v>
      </c>
      <c r="L20" s="160">
        <f t="shared" si="0"/>
        <v>9101.03855629031</v>
      </c>
      <c r="M20" s="160">
        <f t="shared" si="1"/>
        <v>17181.8218639885</v>
      </c>
      <c r="N20" s="160">
        <f t="shared" si="2"/>
        <v>1803025.88939407</v>
      </c>
      <c r="S20" s="159"/>
      <c r="T20" s="159"/>
      <c r="U20" s="159"/>
      <c r="V20" s="159"/>
    </row>
    <row r="21" ht="23" customHeight="1" spans="1:22">
      <c r="A21" s="175">
        <v>13</v>
      </c>
      <c r="B21" s="176">
        <v>45879</v>
      </c>
      <c r="C21" s="177">
        <v>13141.43</v>
      </c>
      <c r="D21" s="177">
        <v>4497.85</v>
      </c>
      <c r="E21" s="177">
        <v>8643.58</v>
      </c>
      <c r="F21" s="177">
        <v>890927.31</v>
      </c>
      <c r="I21" s="159">
        <v>13</v>
      </c>
      <c r="J21" s="176">
        <v>45879</v>
      </c>
      <c r="K21" s="160">
        <f t="shared" si="7"/>
        <v>26282.8604202788</v>
      </c>
      <c r="L21" s="160">
        <f t="shared" si="0"/>
        <v>9015.12944697037</v>
      </c>
      <c r="M21" s="160">
        <f t="shared" si="1"/>
        <v>17267.7309733085</v>
      </c>
      <c r="N21" s="160">
        <f t="shared" si="2"/>
        <v>1785758.15842076</v>
      </c>
      <c r="S21" s="159"/>
      <c r="T21" s="159"/>
      <c r="U21" s="159"/>
      <c r="V21" s="159"/>
    </row>
    <row r="22" ht="23" customHeight="1" spans="1:22">
      <c r="A22" s="175">
        <v>14</v>
      </c>
      <c r="B22" s="176">
        <v>45910</v>
      </c>
      <c r="C22" s="177">
        <v>13141.43</v>
      </c>
      <c r="D22" s="177">
        <v>4454.64</v>
      </c>
      <c r="E22" s="177">
        <v>8686.79</v>
      </c>
      <c r="F22" s="177">
        <v>882240.52</v>
      </c>
      <c r="I22" s="159">
        <v>14</v>
      </c>
      <c r="J22" s="176">
        <v>45910</v>
      </c>
      <c r="K22" s="160">
        <f t="shared" si="7"/>
        <v>26282.8604202788</v>
      </c>
      <c r="L22" s="160">
        <f t="shared" si="0"/>
        <v>8928.79079210382</v>
      </c>
      <c r="M22" s="160">
        <f t="shared" si="1"/>
        <v>17354.069628175</v>
      </c>
      <c r="N22" s="160">
        <f t="shared" si="2"/>
        <v>1768404.08879259</v>
      </c>
      <c r="S22" s="159"/>
      <c r="T22" s="159"/>
      <c r="U22" s="159"/>
      <c r="V22" s="159"/>
    </row>
    <row r="23" ht="23" customHeight="1" spans="1:22">
      <c r="A23" s="175">
        <v>15</v>
      </c>
      <c r="B23" s="176">
        <v>45940</v>
      </c>
      <c r="C23" s="177">
        <v>13141.43</v>
      </c>
      <c r="D23" s="177">
        <v>4411.2</v>
      </c>
      <c r="E23" s="177">
        <v>8730.23</v>
      </c>
      <c r="F23" s="177">
        <v>873510.29</v>
      </c>
      <c r="I23" s="159">
        <v>15</v>
      </c>
      <c r="J23" s="176">
        <v>45940</v>
      </c>
      <c r="K23" s="160">
        <f t="shared" si="7"/>
        <v>26282.8604202788</v>
      </c>
      <c r="L23" s="160">
        <f t="shared" si="0"/>
        <v>8842.02044396295</v>
      </c>
      <c r="M23" s="160">
        <f t="shared" si="1"/>
        <v>17440.8399763159</v>
      </c>
      <c r="N23" s="160">
        <f t="shared" si="2"/>
        <v>1750963.24881627</v>
      </c>
      <c r="S23" s="159"/>
      <c r="T23" s="159"/>
      <c r="U23" s="159"/>
      <c r="V23" s="159"/>
    </row>
    <row r="24" ht="23" customHeight="1" spans="1:22">
      <c r="A24" s="175">
        <v>16</v>
      </c>
      <c r="B24" s="176">
        <v>45971</v>
      </c>
      <c r="C24" s="177">
        <v>13141.43</v>
      </c>
      <c r="D24" s="177">
        <v>4367.55</v>
      </c>
      <c r="E24" s="177">
        <v>8773.88</v>
      </c>
      <c r="F24" s="177">
        <v>864736.41</v>
      </c>
      <c r="I24" s="159">
        <v>16</v>
      </c>
      <c r="J24" s="176">
        <v>45971</v>
      </c>
      <c r="K24" s="160">
        <f t="shared" si="7"/>
        <v>26282.8604202788</v>
      </c>
      <c r="L24" s="160">
        <f t="shared" si="0"/>
        <v>8754.81624408137</v>
      </c>
      <c r="M24" s="160">
        <f t="shared" si="1"/>
        <v>17528.0441761975</v>
      </c>
      <c r="N24" s="160">
        <f t="shared" si="2"/>
        <v>1733435.20464008</v>
      </c>
      <c r="S24" s="159"/>
      <c r="T24" s="159"/>
      <c r="U24" s="159"/>
      <c r="V24" s="159"/>
    </row>
    <row r="25" ht="23" customHeight="1" spans="1:22">
      <c r="A25" s="175">
        <v>17</v>
      </c>
      <c r="B25" s="176">
        <v>46001</v>
      </c>
      <c r="C25" s="177">
        <v>13141.43</v>
      </c>
      <c r="D25" s="177">
        <v>4323.68</v>
      </c>
      <c r="E25" s="177">
        <v>8817.75</v>
      </c>
      <c r="F25" s="177">
        <v>855918.66</v>
      </c>
      <c r="I25" s="159">
        <v>17</v>
      </c>
      <c r="J25" s="176">
        <v>46001</v>
      </c>
      <c r="K25" s="160">
        <f t="shared" si="7"/>
        <v>26282.8604202788</v>
      </c>
      <c r="L25" s="160">
        <f t="shared" si="0"/>
        <v>8667.17602320038</v>
      </c>
      <c r="M25" s="160">
        <f t="shared" si="1"/>
        <v>17615.6843970785</v>
      </c>
      <c r="N25" s="160">
        <f t="shared" si="2"/>
        <v>1715819.520243</v>
      </c>
      <c r="S25" s="159"/>
      <c r="T25" s="159"/>
      <c r="U25" s="159"/>
      <c r="V25" s="159"/>
    </row>
    <row r="26" ht="23" customHeight="1" spans="1:22">
      <c r="A26" s="175">
        <v>18</v>
      </c>
      <c r="B26" s="176">
        <v>46032</v>
      </c>
      <c r="C26" s="177">
        <v>13141.43</v>
      </c>
      <c r="D26" s="177">
        <v>4279.59</v>
      </c>
      <c r="E26" s="177">
        <v>8861.84</v>
      </c>
      <c r="F26" s="177">
        <v>847056.82</v>
      </c>
      <c r="I26" s="159">
        <v>18</v>
      </c>
      <c r="J26" s="176">
        <v>46032</v>
      </c>
      <c r="K26" s="160">
        <f t="shared" si="7"/>
        <v>26282.8604202788</v>
      </c>
      <c r="L26" s="160">
        <f t="shared" si="0"/>
        <v>8579.09760121499</v>
      </c>
      <c r="M26" s="160">
        <f t="shared" si="1"/>
        <v>17703.7628190639</v>
      </c>
      <c r="N26" s="160">
        <f t="shared" si="2"/>
        <v>1698115.75742393</v>
      </c>
      <c r="S26" s="159"/>
      <c r="T26" s="159"/>
      <c r="U26" s="159"/>
      <c r="V26" s="159"/>
    </row>
    <row r="27" ht="23" customHeight="1" spans="1:22">
      <c r="A27" s="175">
        <v>19</v>
      </c>
      <c r="B27" s="176">
        <v>46063</v>
      </c>
      <c r="C27" s="177">
        <v>13141.43</v>
      </c>
      <c r="D27" s="177">
        <v>4235.28</v>
      </c>
      <c r="E27" s="177">
        <v>8906.15</v>
      </c>
      <c r="F27" s="177">
        <v>838150.67</v>
      </c>
      <c r="I27" s="159">
        <v>19</v>
      </c>
      <c r="J27" s="176">
        <v>46063</v>
      </c>
      <c r="K27" s="160">
        <f t="shared" si="7"/>
        <v>26282.8604202788</v>
      </c>
      <c r="L27" s="160">
        <f t="shared" si="0"/>
        <v>8490.57878711967</v>
      </c>
      <c r="M27" s="160">
        <f t="shared" si="1"/>
        <v>17792.2816331592</v>
      </c>
      <c r="N27" s="160">
        <f t="shared" si="2"/>
        <v>1680323.47579077</v>
      </c>
      <c r="S27" s="159"/>
      <c r="T27" s="159"/>
      <c r="U27" s="159"/>
      <c r="V27" s="159"/>
    </row>
    <row r="28" ht="23" customHeight="1" spans="1:22">
      <c r="A28" s="175">
        <v>20</v>
      </c>
      <c r="B28" s="176">
        <v>46091</v>
      </c>
      <c r="C28" s="177">
        <v>13141.43</v>
      </c>
      <c r="D28" s="177">
        <v>4190.75</v>
      </c>
      <c r="E28" s="177">
        <v>8950.68</v>
      </c>
      <c r="F28" s="177">
        <v>829199.99</v>
      </c>
      <c r="I28" s="159">
        <v>20</v>
      </c>
      <c r="J28" s="176">
        <v>46091</v>
      </c>
      <c r="K28" s="160">
        <f t="shared" si="7"/>
        <v>26282.8604202788</v>
      </c>
      <c r="L28" s="160">
        <f t="shared" si="0"/>
        <v>8401.61737895388</v>
      </c>
      <c r="M28" s="160">
        <f t="shared" si="1"/>
        <v>17881.243041325</v>
      </c>
      <c r="N28" s="160">
        <f t="shared" si="2"/>
        <v>1662442.23274945</v>
      </c>
      <c r="S28" s="159"/>
      <c r="T28" s="159"/>
      <c r="U28" s="159"/>
      <c r="V28" s="159"/>
    </row>
    <row r="29" ht="23" customHeight="1" spans="1:22">
      <c r="A29" s="175">
        <v>21</v>
      </c>
      <c r="B29" s="176">
        <v>46122</v>
      </c>
      <c r="C29" s="177">
        <v>13141.43</v>
      </c>
      <c r="D29" s="177">
        <v>4146</v>
      </c>
      <c r="E29" s="177">
        <v>8995.43</v>
      </c>
      <c r="F29" s="177">
        <v>820204.56</v>
      </c>
      <c r="I29" s="159">
        <v>21</v>
      </c>
      <c r="J29" s="176">
        <v>46122</v>
      </c>
      <c r="K29" s="160">
        <f t="shared" si="7"/>
        <v>26282.8604202788</v>
      </c>
      <c r="L29" s="160">
        <f t="shared" si="0"/>
        <v>8312.21116374725</v>
      </c>
      <c r="M29" s="160">
        <f t="shared" si="1"/>
        <v>17970.6492565316</v>
      </c>
      <c r="N29" s="160">
        <f t="shared" si="2"/>
        <v>1644471.58349292</v>
      </c>
      <c r="S29" s="159"/>
      <c r="T29" s="159"/>
      <c r="U29" s="159"/>
      <c r="V29" s="159"/>
    </row>
    <row r="30" ht="23" customHeight="1" spans="1:22">
      <c r="A30" s="175">
        <v>22</v>
      </c>
      <c r="B30" s="176">
        <v>46152</v>
      </c>
      <c r="C30" s="177">
        <v>13141.43</v>
      </c>
      <c r="D30" s="177">
        <v>4101.02</v>
      </c>
      <c r="E30" s="177">
        <v>9040.41</v>
      </c>
      <c r="F30" s="177">
        <v>811164.15</v>
      </c>
      <c r="I30" s="159">
        <v>22</v>
      </c>
      <c r="J30" s="176">
        <v>46152</v>
      </c>
      <c r="K30" s="160">
        <f t="shared" si="7"/>
        <v>26282.8604202788</v>
      </c>
      <c r="L30" s="160">
        <f t="shared" si="0"/>
        <v>8222.35791746459</v>
      </c>
      <c r="M30" s="160">
        <f t="shared" si="1"/>
        <v>18060.5025028143</v>
      </c>
      <c r="N30" s="160">
        <f t="shared" si="2"/>
        <v>1626411.0809901</v>
      </c>
      <c r="S30" s="159"/>
      <c r="T30" s="159"/>
      <c r="U30" s="159"/>
      <c r="V30" s="159"/>
    </row>
    <row r="31" ht="23" customHeight="1" spans="1:22">
      <c r="A31" s="175">
        <v>23</v>
      </c>
      <c r="B31" s="176">
        <v>46183</v>
      </c>
      <c r="C31" s="177">
        <v>13141.43</v>
      </c>
      <c r="D31" s="177">
        <v>4055.82</v>
      </c>
      <c r="E31" s="177">
        <v>9085.61</v>
      </c>
      <c r="F31" s="177">
        <v>802078.54</v>
      </c>
      <c r="I31" s="159">
        <v>23</v>
      </c>
      <c r="J31" s="176">
        <v>46183</v>
      </c>
      <c r="K31" s="160">
        <f t="shared" si="7"/>
        <v>26282.8604202788</v>
      </c>
      <c r="L31" s="160">
        <f t="shared" si="0"/>
        <v>8132.05540495052</v>
      </c>
      <c r="M31" s="160">
        <f t="shared" si="1"/>
        <v>18150.8050153283</v>
      </c>
      <c r="N31" s="160">
        <f t="shared" si="2"/>
        <v>1608260.27597478</v>
      </c>
      <c r="S31" s="159"/>
      <c r="T31" s="159"/>
      <c r="U31" s="159"/>
      <c r="V31" s="159"/>
    </row>
    <row r="32" ht="23" customHeight="1" spans="1:22">
      <c r="A32" s="175">
        <v>24</v>
      </c>
      <c r="B32" s="176">
        <v>46213</v>
      </c>
      <c r="C32" s="177">
        <v>13141.43</v>
      </c>
      <c r="D32" s="177">
        <v>4010.39</v>
      </c>
      <c r="E32" s="177">
        <v>9131.04</v>
      </c>
      <c r="F32" s="177">
        <v>792947.5</v>
      </c>
      <c r="I32" s="159">
        <v>24</v>
      </c>
      <c r="J32" s="176">
        <v>46213</v>
      </c>
      <c r="K32" s="160">
        <f t="shared" si="7"/>
        <v>26282.8604202788</v>
      </c>
      <c r="L32" s="160">
        <f t="shared" si="0"/>
        <v>8041.30137987388</v>
      </c>
      <c r="M32" s="160">
        <f t="shared" si="1"/>
        <v>18241.559040405</v>
      </c>
      <c r="N32" s="160">
        <f t="shared" si="2"/>
        <v>1590018.71693437</v>
      </c>
      <c r="S32" s="159"/>
      <c r="T32" s="159"/>
      <c r="U32" s="159"/>
      <c r="V32" s="159"/>
    </row>
    <row r="33" ht="23" customHeight="1" spans="1:22">
      <c r="A33" s="175">
        <v>25</v>
      </c>
      <c r="B33" s="176">
        <v>46244</v>
      </c>
      <c r="C33" s="177">
        <v>13141.43</v>
      </c>
      <c r="D33" s="177">
        <v>3964.74</v>
      </c>
      <c r="E33" s="177">
        <v>9176.69</v>
      </c>
      <c r="F33" s="177">
        <v>783770.81</v>
      </c>
      <c r="I33" s="159">
        <v>25</v>
      </c>
      <c r="J33" s="176">
        <v>46244</v>
      </c>
      <c r="K33" s="160">
        <f t="shared" si="7"/>
        <v>26282.8604202788</v>
      </c>
      <c r="L33" s="160">
        <f t="shared" si="0"/>
        <v>7950.09358467186</v>
      </c>
      <c r="M33" s="160">
        <f t="shared" si="1"/>
        <v>18332.766835607</v>
      </c>
      <c r="N33" s="160">
        <f t="shared" si="2"/>
        <v>1571685.95009876</v>
      </c>
      <c r="S33" s="159"/>
      <c r="T33" s="159"/>
      <c r="U33" s="159"/>
      <c r="V33" s="159"/>
    </row>
    <row r="34" ht="23" customHeight="1" spans="1:22">
      <c r="A34" s="175">
        <v>26</v>
      </c>
      <c r="B34" s="176">
        <v>46275</v>
      </c>
      <c r="C34" s="177">
        <v>13141.43</v>
      </c>
      <c r="D34" s="177">
        <v>3918.85</v>
      </c>
      <c r="E34" s="177">
        <v>9222.58</v>
      </c>
      <c r="F34" s="177">
        <v>774548.23</v>
      </c>
      <c r="I34" s="159">
        <v>26</v>
      </c>
      <c r="J34" s="176">
        <v>46275</v>
      </c>
      <c r="K34" s="160">
        <f t="shared" si="7"/>
        <v>26282.8604202788</v>
      </c>
      <c r="L34" s="160">
        <f t="shared" si="0"/>
        <v>7858.42975049382</v>
      </c>
      <c r="M34" s="160">
        <f t="shared" si="1"/>
        <v>18424.430669785</v>
      </c>
      <c r="N34" s="160">
        <f t="shared" si="2"/>
        <v>1553261.51942898</v>
      </c>
      <c r="S34" s="159"/>
      <c r="T34" s="159"/>
      <c r="U34" s="159"/>
      <c r="V34" s="159"/>
    </row>
    <row r="35" ht="23" customHeight="1" spans="1:22">
      <c r="A35" s="175">
        <v>27</v>
      </c>
      <c r="B35" s="176">
        <v>46305</v>
      </c>
      <c r="C35" s="177">
        <v>13141.43</v>
      </c>
      <c r="D35" s="177">
        <v>3872.74</v>
      </c>
      <c r="E35" s="177">
        <v>9268.69</v>
      </c>
      <c r="F35" s="177">
        <v>765279.54</v>
      </c>
      <c r="I35" s="159">
        <v>27</v>
      </c>
      <c r="J35" s="176">
        <v>46305</v>
      </c>
      <c r="K35" s="160">
        <f t="shared" si="7"/>
        <v>26282.8604202788</v>
      </c>
      <c r="L35" s="160">
        <f t="shared" si="0"/>
        <v>7766.3075971449</v>
      </c>
      <c r="M35" s="160">
        <f t="shared" si="1"/>
        <v>18516.552823134</v>
      </c>
      <c r="N35" s="160">
        <f t="shared" si="2"/>
        <v>1534744.96660585</v>
      </c>
      <c r="S35" s="159"/>
      <c r="T35" s="159"/>
      <c r="U35" s="159"/>
      <c r="V35" s="159"/>
    </row>
    <row r="36" ht="23" customHeight="1" spans="1:22">
      <c r="A36" s="175">
        <v>28</v>
      </c>
      <c r="B36" s="176">
        <v>46336</v>
      </c>
      <c r="C36" s="177">
        <v>13141.43</v>
      </c>
      <c r="D36" s="177">
        <v>3826.4</v>
      </c>
      <c r="E36" s="177">
        <v>9315.03</v>
      </c>
      <c r="F36" s="177">
        <v>755964.51</v>
      </c>
      <c r="I36" s="159">
        <v>28</v>
      </c>
      <c r="J36" s="176">
        <v>46336</v>
      </c>
      <c r="K36" s="160">
        <f t="shared" si="7"/>
        <v>26282.8604202788</v>
      </c>
      <c r="L36" s="160">
        <f t="shared" si="0"/>
        <v>7673.72483302923</v>
      </c>
      <c r="M36" s="160">
        <f t="shared" si="1"/>
        <v>18609.1355872496</v>
      </c>
      <c r="N36" s="160">
        <f t="shared" si="2"/>
        <v>1516135.8310186</v>
      </c>
      <c r="S36" s="159"/>
      <c r="T36" s="159"/>
      <c r="U36" s="159"/>
      <c r="V36" s="159"/>
    </row>
    <row r="37" ht="23" customHeight="1" spans="1:22">
      <c r="A37" s="175">
        <v>29</v>
      </c>
      <c r="B37" s="176">
        <v>46366</v>
      </c>
      <c r="C37" s="177">
        <v>13141.43</v>
      </c>
      <c r="D37" s="177">
        <v>3779.82</v>
      </c>
      <c r="E37" s="177">
        <v>9361.61</v>
      </c>
      <c r="F37" s="177">
        <v>746602.9</v>
      </c>
      <c r="I37" s="159">
        <v>29</v>
      </c>
      <c r="J37" s="176">
        <v>46366</v>
      </c>
      <c r="K37" s="160">
        <f t="shared" si="7"/>
        <v>26282.8604202788</v>
      </c>
      <c r="L37" s="160">
        <f t="shared" si="0"/>
        <v>7580.67915509298</v>
      </c>
      <c r="M37" s="160">
        <f t="shared" si="1"/>
        <v>18702.1812651859</v>
      </c>
      <c r="N37" s="160">
        <f t="shared" si="2"/>
        <v>1497433.64975341</v>
      </c>
      <c r="S37" s="159"/>
      <c r="T37" s="159"/>
      <c r="U37" s="159"/>
      <c r="V37" s="159"/>
    </row>
    <row r="38" ht="23" customHeight="1" spans="1:22">
      <c r="A38" s="175">
        <v>30</v>
      </c>
      <c r="B38" s="176">
        <v>46397</v>
      </c>
      <c r="C38" s="177">
        <v>13141.43</v>
      </c>
      <c r="D38" s="177">
        <v>3733.01</v>
      </c>
      <c r="E38" s="177">
        <v>9408.42</v>
      </c>
      <c r="F38" s="177">
        <v>737194.48</v>
      </c>
      <c r="I38" s="159">
        <v>30</v>
      </c>
      <c r="J38" s="176">
        <v>46397</v>
      </c>
      <c r="K38" s="160">
        <f t="shared" si="7"/>
        <v>26282.8604202788</v>
      </c>
      <c r="L38" s="160">
        <f t="shared" si="0"/>
        <v>7487.16824876705</v>
      </c>
      <c r="M38" s="160">
        <f t="shared" si="1"/>
        <v>18795.6921715118</v>
      </c>
      <c r="N38" s="160">
        <f t="shared" si="2"/>
        <v>1478637.9575819</v>
      </c>
      <c r="S38" s="159"/>
      <c r="T38" s="159"/>
      <c r="U38" s="159"/>
      <c r="V38" s="159"/>
    </row>
    <row r="39" ht="23" customHeight="1" spans="1:22">
      <c r="A39" s="175">
        <v>31</v>
      </c>
      <c r="B39" s="176">
        <v>46428</v>
      </c>
      <c r="C39" s="177">
        <v>13141.43</v>
      </c>
      <c r="D39" s="177">
        <v>3685.97</v>
      </c>
      <c r="E39" s="177">
        <v>9455.46</v>
      </c>
      <c r="F39" s="177">
        <v>727739.02</v>
      </c>
      <c r="I39" s="159">
        <v>31</v>
      </c>
      <c r="J39" s="176">
        <v>46428</v>
      </c>
      <c r="K39" s="160">
        <f t="shared" si="7"/>
        <v>26282.8604202788</v>
      </c>
      <c r="L39" s="160">
        <f t="shared" si="0"/>
        <v>7393.18978790949</v>
      </c>
      <c r="M39" s="160">
        <f t="shared" si="1"/>
        <v>18889.6706323694</v>
      </c>
      <c r="N39" s="160">
        <f t="shared" si="2"/>
        <v>1459748.28694953</v>
      </c>
      <c r="S39" s="159"/>
      <c r="T39" s="159"/>
      <c r="U39" s="159"/>
      <c r="V39" s="159"/>
    </row>
    <row r="40" ht="23" customHeight="1" spans="1:22">
      <c r="A40" s="175">
        <v>32</v>
      </c>
      <c r="B40" s="176">
        <v>46456</v>
      </c>
      <c r="C40" s="177">
        <v>13141.43</v>
      </c>
      <c r="D40" s="177">
        <v>3638.7</v>
      </c>
      <c r="E40" s="177">
        <v>9502.73</v>
      </c>
      <c r="F40" s="177">
        <v>718236.29</v>
      </c>
      <c r="I40" s="159">
        <v>32</v>
      </c>
      <c r="J40" s="176">
        <v>46456</v>
      </c>
      <c r="K40" s="160">
        <f t="shared" si="7"/>
        <v>26282.8604202788</v>
      </c>
      <c r="L40" s="160">
        <f t="shared" si="0"/>
        <v>7298.74143474764</v>
      </c>
      <c r="M40" s="160">
        <f t="shared" si="1"/>
        <v>18984.1189855312</v>
      </c>
      <c r="N40" s="160">
        <f t="shared" si="2"/>
        <v>1440764.167964</v>
      </c>
      <c r="S40" s="159"/>
      <c r="T40" s="159"/>
      <c r="U40" s="159"/>
      <c r="V40" s="159"/>
    </row>
    <row r="41" ht="23" customHeight="1" spans="1:22">
      <c r="A41" s="175">
        <v>33</v>
      </c>
      <c r="B41" s="176">
        <v>46487</v>
      </c>
      <c r="C41" s="177">
        <v>13141.43</v>
      </c>
      <c r="D41" s="177">
        <v>3591.18</v>
      </c>
      <c r="E41" s="177">
        <v>9550.25</v>
      </c>
      <c r="F41" s="177">
        <v>708686.04</v>
      </c>
      <c r="I41" s="159">
        <v>33</v>
      </c>
      <c r="J41" s="176">
        <v>46487</v>
      </c>
      <c r="K41" s="160">
        <f t="shared" si="7"/>
        <v>26282.8604202788</v>
      </c>
      <c r="L41" s="160">
        <f t="shared" si="0"/>
        <v>7203.82083981999</v>
      </c>
      <c r="M41" s="160">
        <f t="shared" si="1"/>
        <v>19079.0395804589</v>
      </c>
      <c r="N41" s="160">
        <f t="shared" si="2"/>
        <v>1421685.12838354</v>
      </c>
      <c r="S41" s="159"/>
      <c r="T41" s="159"/>
      <c r="U41" s="159"/>
      <c r="V41" s="159"/>
    </row>
    <row r="42" ht="23" customHeight="1" spans="1:22">
      <c r="A42" s="175">
        <v>34</v>
      </c>
      <c r="B42" s="176">
        <v>46517</v>
      </c>
      <c r="C42" s="177">
        <v>13141.43</v>
      </c>
      <c r="D42" s="177">
        <v>3543.43</v>
      </c>
      <c r="E42" s="177">
        <v>9598</v>
      </c>
      <c r="F42" s="177">
        <v>699088.04</v>
      </c>
      <c r="I42" s="159">
        <v>34</v>
      </c>
      <c r="J42" s="176">
        <v>46517</v>
      </c>
      <c r="K42" s="160">
        <f t="shared" si="7"/>
        <v>26282.8604202788</v>
      </c>
      <c r="L42" s="160">
        <f t="shared" si="0"/>
        <v>7108.42564191769</v>
      </c>
      <c r="M42" s="160">
        <f t="shared" si="1"/>
        <v>19174.4347783612</v>
      </c>
      <c r="N42" s="160">
        <f t="shared" si="2"/>
        <v>1402510.69360518</v>
      </c>
      <c r="S42" s="159"/>
      <c r="T42" s="159"/>
      <c r="U42" s="159"/>
      <c r="V42" s="159"/>
    </row>
    <row r="43" ht="23" customHeight="1" spans="1:22">
      <c r="A43" s="175">
        <v>35</v>
      </c>
      <c r="B43" s="176">
        <v>46548</v>
      </c>
      <c r="C43" s="177">
        <v>13141.43</v>
      </c>
      <c r="D43" s="177">
        <v>3495.44</v>
      </c>
      <c r="E43" s="177">
        <v>9645.99</v>
      </c>
      <c r="F43" s="177">
        <v>689442.05</v>
      </c>
      <c r="I43" s="159">
        <v>35</v>
      </c>
      <c r="J43" s="176">
        <v>46548</v>
      </c>
      <c r="K43" s="160">
        <f t="shared" si="7"/>
        <v>26282.8604202788</v>
      </c>
      <c r="L43" s="160">
        <f t="shared" si="0"/>
        <v>7012.55346802589</v>
      </c>
      <c r="M43" s="160">
        <f t="shared" si="1"/>
        <v>19270.306952253</v>
      </c>
      <c r="N43" s="160">
        <f t="shared" si="2"/>
        <v>1383240.38665292</v>
      </c>
      <c r="S43" s="159"/>
      <c r="T43" s="159"/>
      <c r="U43" s="159"/>
      <c r="V43" s="159"/>
    </row>
    <row r="44" ht="23" customHeight="1" spans="1:22">
      <c r="A44" s="175">
        <v>36</v>
      </c>
      <c r="B44" s="176">
        <v>46578</v>
      </c>
      <c r="C44" s="177">
        <v>13141.43</v>
      </c>
      <c r="D44" s="177">
        <v>3447.21</v>
      </c>
      <c r="E44" s="177">
        <v>9694.22</v>
      </c>
      <c r="F44" s="177">
        <v>679747.83</v>
      </c>
      <c r="I44" s="159">
        <v>36</v>
      </c>
      <c r="J44" s="176">
        <v>46578</v>
      </c>
      <c r="K44" s="160">
        <f t="shared" si="7"/>
        <v>26282.8604202788</v>
      </c>
      <c r="L44" s="160">
        <f t="shared" si="0"/>
        <v>6916.20193326462</v>
      </c>
      <c r="M44" s="160">
        <f t="shared" si="1"/>
        <v>19366.6584870142</v>
      </c>
      <c r="N44" s="160">
        <f t="shared" si="2"/>
        <v>1363873.72816591</v>
      </c>
      <c r="S44" s="159"/>
      <c r="T44" s="159"/>
      <c r="U44" s="159"/>
      <c r="V44" s="159"/>
    </row>
    <row r="45" ht="23" customHeight="1" spans="1:22">
      <c r="A45" s="175">
        <v>37</v>
      </c>
      <c r="B45" s="176">
        <v>46609</v>
      </c>
      <c r="C45" s="177">
        <v>13141.43</v>
      </c>
      <c r="D45" s="177">
        <v>3398.74</v>
      </c>
      <c r="E45" s="177">
        <v>9742.69</v>
      </c>
      <c r="F45" s="177">
        <v>670005.14</v>
      </c>
      <c r="I45" s="159">
        <v>37</v>
      </c>
      <c r="J45" s="176">
        <v>46609</v>
      </c>
      <c r="K45" s="160">
        <f t="shared" si="7"/>
        <v>26282.8604202788</v>
      </c>
      <c r="L45" s="160">
        <f t="shared" si="0"/>
        <v>6819.36864082955</v>
      </c>
      <c r="M45" s="160">
        <f t="shared" si="1"/>
        <v>19463.4917794493</v>
      </c>
      <c r="N45" s="160">
        <f t="shared" si="2"/>
        <v>1344410.23638646</v>
      </c>
      <c r="S45" s="159"/>
      <c r="T45" s="159"/>
      <c r="U45" s="159"/>
      <c r="V45" s="159"/>
    </row>
    <row r="46" ht="23" customHeight="1" spans="1:22">
      <c r="A46" s="175">
        <v>38</v>
      </c>
      <c r="B46" s="176">
        <v>46640</v>
      </c>
      <c r="C46" s="177">
        <v>13141.43</v>
      </c>
      <c r="D46" s="177">
        <v>3350.03</v>
      </c>
      <c r="E46" s="177">
        <v>9791.4</v>
      </c>
      <c r="F46" s="177">
        <v>660213.74</v>
      </c>
      <c r="I46" s="159">
        <v>38</v>
      </c>
      <c r="J46" s="176">
        <v>46640</v>
      </c>
      <c r="K46" s="160">
        <f t="shared" si="7"/>
        <v>26282.8604202788</v>
      </c>
      <c r="L46" s="160">
        <f t="shared" si="0"/>
        <v>6722.0511819323</v>
      </c>
      <c r="M46" s="160">
        <f t="shared" si="1"/>
        <v>19560.8092383465</v>
      </c>
      <c r="N46" s="160">
        <f t="shared" si="2"/>
        <v>1324849.42714811</v>
      </c>
      <c r="S46" s="159"/>
      <c r="T46" s="159"/>
      <c r="U46" s="159"/>
      <c r="V46" s="159"/>
    </row>
    <row r="47" ht="23" customHeight="1" spans="1:22">
      <c r="A47" s="175">
        <v>39</v>
      </c>
      <c r="B47" s="176">
        <v>46670</v>
      </c>
      <c r="C47" s="177">
        <v>13141.43</v>
      </c>
      <c r="D47" s="177">
        <v>3301.07</v>
      </c>
      <c r="E47" s="177">
        <v>9840.36</v>
      </c>
      <c r="F47" s="177">
        <v>650373.38</v>
      </c>
      <c r="I47" s="159">
        <v>39</v>
      </c>
      <c r="J47" s="176">
        <v>46670</v>
      </c>
      <c r="K47" s="160">
        <f t="shared" si="7"/>
        <v>26282.8604202788</v>
      </c>
      <c r="L47" s="160">
        <f t="shared" si="0"/>
        <v>6624.24713574057</v>
      </c>
      <c r="M47" s="160">
        <f t="shared" si="1"/>
        <v>19658.6132845383</v>
      </c>
      <c r="N47" s="160">
        <f t="shared" si="2"/>
        <v>1305190.81386358</v>
      </c>
      <c r="S47" s="159"/>
      <c r="T47" s="159"/>
      <c r="U47" s="159"/>
      <c r="V47" s="159"/>
    </row>
    <row r="48" ht="23" customHeight="1" spans="1:22">
      <c r="A48" s="175">
        <v>40</v>
      </c>
      <c r="B48" s="176">
        <v>46701</v>
      </c>
      <c r="C48" s="177">
        <v>13141.43</v>
      </c>
      <c r="D48" s="177">
        <v>3251.87</v>
      </c>
      <c r="E48" s="177">
        <v>9889.56</v>
      </c>
      <c r="F48" s="177">
        <v>640483.82</v>
      </c>
      <c r="I48" s="159">
        <v>40</v>
      </c>
      <c r="J48" s="176">
        <v>46701</v>
      </c>
      <c r="K48" s="160">
        <f t="shared" si="7"/>
        <v>26282.8604202788</v>
      </c>
      <c r="L48" s="160">
        <f t="shared" si="0"/>
        <v>6525.95406931788</v>
      </c>
      <c r="M48" s="160">
        <f t="shared" si="1"/>
        <v>19756.906350961</v>
      </c>
      <c r="N48" s="160">
        <f t="shared" si="2"/>
        <v>1285433.90751262</v>
      </c>
      <c r="S48" s="159"/>
      <c r="T48" s="159"/>
      <c r="U48" s="159"/>
      <c r="V48" s="159"/>
    </row>
    <row r="49" ht="23" customHeight="1" spans="1:22">
      <c r="A49" s="175">
        <v>41</v>
      </c>
      <c r="B49" s="176">
        <v>46731</v>
      </c>
      <c r="C49" s="177">
        <v>13141.43</v>
      </c>
      <c r="D49" s="177">
        <v>3202.42</v>
      </c>
      <c r="E49" s="177">
        <v>9939.01</v>
      </c>
      <c r="F49" s="177">
        <v>630544.81</v>
      </c>
      <c r="I49" s="159">
        <v>41</v>
      </c>
      <c r="J49" s="176">
        <v>46731</v>
      </c>
      <c r="K49" s="160">
        <f t="shared" si="7"/>
        <v>26282.8604202788</v>
      </c>
      <c r="L49" s="160">
        <f t="shared" si="0"/>
        <v>6427.16953756308</v>
      </c>
      <c r="M49" s="160">
        <f t="shared" si="1"/>
        <v>19855.6908827158</v>
      </c>
      <c r="N49" s="160">
        <f t="shared" si="2"/>
        <v>1265578.2166299</v>
      </c>
      <c r="S49" s="159"/>
      <c r="T49" s="159"/>
      <c r="U49" s="159"/>
      <c r="V49" s="159"/>
    </row>
    <row r="50" ht="23" customHeight="1" spans="1:22">
      <c r="A50" s="175">
        <v>42</v>
      </c>
      <c r="B50" s="176">
        <v>46762</v>
      </c>
      <c r="C50" s="177">
        <v>13141.43</v>
      </c>
      <c r="D50" s="177">
        <v>3152.72</v>
      </c>
      <c r="E50" s="177">
        <v>9988.71</v>
      </c>
      <c r="F50" s="177">
        <v>620556.1</v>
      </c>
      <c r="I50" s="159">
        <v>42</v>
      </c>
      <c r="J50" s="176">
        <v>46762</v>
      </c>
      <c r="K50" s="160">
        <f t="shared" si="7"/>
        <v>26282.8604202788</v>
      </c>
      <c r="L50" s="160">
        <f t="shared" si="0"/>
        <v>6327.8910831495</v>
      </c>
      <c r="M50" s="160">
        <f t="shared" si="1"/>
        <v>19954.9693371294</v>
      </c>
      <c r="N50" s="160">
        <f t="shared" si="2"/>
        <v>1245623.24729277</v>
      </c>
      <c r="S50" s="159"/>
      <c r="T50" s="159"/>
      <c r="U50" s="159"/>
      <c r="V50" s="159"/>
    </row>
    <row r="51" ht="23" customHeight="1" spans="1:22">
      <c r="A51" s="175">
        <v>43</v>
      </c>
      <c r="B51" s="176">
        <v>46793</v>
      </c>
      <c r="C51" s="177">
        <v>13141.43</v>
      </c>
      <c r="D51" s="177">
        <v>3102.78</v>
      </c>
      <c r="E51" s="177">
        <v>10038.65</v>
      </c>
      <c r="F51" s="177">
        <v>610517.45</v>
      </c>
      <c r="I51" s="159">
        <v>43</v>
      </c>
      <c r="J51" s="176">
        <v>46793</v>
      </c>
      <c r="K51" s="160">
        <f t="shared" si="7"/>
        <v>26282.8604202788</v>
      </c>
      <c r="L51" s="160">
        <f t="shared" si="0"/>
        <v>6228.11623646385</v>
      </c>
      <c r="M51" s="160">
        <f t="shared" si="1"/>
        <v>20054.744183815</v>
      </c>
      <c r="N51" s="160">
        <f t="shared" si="2"/>
        <v>1225568.50310895</v>
      </c>
      <c r="S51" s="159"/>
      <c r="T51" s="159"/>
      <c r="U51" s="159"/>
      <c r="V51" s="159"/>
    </row>
    <row r="52" ht="23" customHeight="1" spans="1:22">
      <c r="A52" s="175">
        <v>44</v>
      </c>
      <c r="B52" s="176">
        <v>46822</v>
      </c>
      <c r="C52" s="177">
        <v>13141.43</v>
      </c>
      <c r="D52" s="177">
        <v>3052.59</v>
      </c>
      <c r="E52" s="177">
        <v>10088.84</v>
      </c>
      <c r="F52" s="177">
        <v>600428.61</v>
      </c>
      <c r="I52" s="159">
        <v>44</v>
      </c>
      <c r="J52" s="176">
        <v>46822</v>
      </c>
      <c r="K52" s="160">
        <f t="shared" si="7"/>
        <v>26282.8604202788</v>
      </c>
      <c r="L52" s="160">
        <f t="shared" si="0"/>
        <v>6127.84251554477</v>
      </c>
      <c r="M52" s="160">
        <f t="shared" si="1"/>
        <v>20155.0179047341</v>
      </c>
      <c r="N52" s="160">
        <f t="shared" si="2"/>
        <v>1205413.48520422</v>
      </c>
      <c r="S52" s="159"/>
      <c r="T52" s="159"/>
      <c r="U52" s="159"/>
      <c r="V52" s="159"/>
    </row>
    <row r="53" ht="23" customHeight="1" spans="1:22">
      <c r="A53" s="175">
        <v>45</v>
      </c>
      <c r="B53" s="176">
        <v>46853</v>
      </c>
      <c r="C53" s="177">
        <v>13141.43</v>
      </c>
      <c r="D53" s="177">
        <v>3002.14</v>
      </c>
      <c r="E53" s="177">
        <v>10139.29</v>
      </c>
      <c r="F53" s="177">
        <v>590289.32</v>
      </c>
      <c r="I53" s="159">
        <v>45</v>
      </c>
      <c r="J53" s="176">
        <v>46853</v>
      </c>
      <c r="K53" s="160">
        <f t="shared" si="7"/>
        <v>26282.8604202788</v>
      </c>
      <c r="L53" s="160">
        <f t="shared" si="0"/>
        <v>6027.0674260211</v>
      </c>
      <c r="M53" s="160">
        <f t="shared" si="1"/>
        <v>20255.7929942577</v>
      </c>
      <c r="N53" s="160">
        <f t="shared" si="2"/>
        <v>1185157.69220996</v>
      </c>
      <c r="S53" s="159"/>
      <c r="T53" s="159"/>
      <c r="U53" s="159"/>
      <c r="V53" s="159"/>
    </row>
    <row r="54" ht="23" customHeight="1" spans="1:22">
      <c r="A54" s="175">
        <v>46</v>
      </c>
      <c r="B54" s="176">
        <v>46883</v>
      </c>
      <c r="C54" s="177">
        <v>13141.43</v>
      </c>
      <c r="D54" s="177">
        <v>2951.45</v>
      </c>
      <c r="E54" s="177">
        <v>10189.98</v>
      </c>
      <c r="F54" s="177">
        <v>580099.34</v>
      </c>
      <c r="I54" s="159">
        <v>46</v>
      </c>
      <c r="J54" s="176">
        <v>46883</v>
      </c>
      <c r="K54" s="160">
        <f t="shared" si="7"/>
        <v>26282.8604202788</v>
      </c>
      <c r="L54" s="160">
        <f t="shared" si="0"/>
        <v>5925.78846104982</v>
      </c>
      <c r="M54" s="160">
        <f t="shared" si="1"/>
        <v>20357.071959229</v>
      </c>
      <c r="N54" s="160">
        <f t="shared" si="2"/>
        <v>1164800.62025073</v>
      </c>
      <c r="S54" s="159"/>
      <c r="T54" s="159"/>
      <c r="U54" s="159"/>
      <c r="V54" s="159"/>
    </row>
    <row r="55" ht="23" customHeight="1" spans="1:22">
      <c r="A55" s="175">
        <v>47</v>
      </c>
      <c r="B55" s="176">
        <v>46914</v>
      </c>
      <c r="C55" s="177">
        <v>13141.43</v>
      </c>
      <c r="D55" s="177">
        <v>2900.5</v>
      </c>
      <c r="E55" s="177">
        <v>10240.93</v>
      </c>
      <c r="F55" s="177">
        <v>569858.41</v>
      </c>
      <c r="I55" s="159">
        <v>47</v>
      </c>
      <c r="J55" s="176">
        <v>46914</v>
      </c>
      <c r="K55" s="160">
        <f t="shared" si="7"/>
        <v>26282.8604202788</v>
      </c>
      <c r="L55" s="160">
        <f t="shared" si="0"/>
        <v>5824.00310125367</v>
      </c>
      <c r="M55" s="160">
        <f t="shared" si="1"/>
        <v>20458.8573190252</v>
      </c>
      <c r="N55" s="160">
        <f t="shared" si="2"/>
        <v>1144341.76293171</v>
      </c>
      <c r="S55" s="159"/>
      <c r="T55" s="159"/>
      <c r="U55" s="159"/>
      <c r="V55" s="159"/>
    </row>
    <row r="56" ht="23" customHeight="1" spans="1:22">
      <c r="A56" s="175">
        <v>48</v>
      </c>
      <c r="B56" s="176">
        <v>46944</v>
      </c>
      <c r="C56" s="177">
        <v>13141.43</v>
      </c>
      <c r="D56" s="177">
        <v>2849.29</v>
      </c>
      <c r="E56" s="177">
        <v>10292.14</v>
      </c>
      <c r="F56" s="177">
        <v>559566.27</v>
      </c>
      <c r="I56" s="159">
        <v>48</v>
      </c>
      <c r="J56" s="176">
        <v>46944</v>
      </c>
      <c r="K56" s="160">
        <f t="shared" si="7"/>
        <v>26282.8604202788</v>
      </c>
      <c r="L56" s="160">
        <f t="shared" si="0"/>
        <v>5721.70881465855</v>
      </c>
      <c r="M56" s="160">
        <f t="shared" si="1"/>
        <v>20561.1516056203</v>
      </c>
      <c r="N56" s="160">
        <f t="shared" si="2"/>
        <v>1123780.61132609</v>
      </c>
      <c r="S56" s="159"/>
      <c r="T56" s="159"/>
      <c r="U56" s="159"/>
      <c r="V56" s="159"/>
    </row>
    <row r="57" ht="23" customHeight="1" spans="1:22">
      <c r="A57" s="175">
        <v>49</v>
      </c>
      <c r="B57" s="176">
        <v>46975</v>
      </c>
      <c r="C57" s="177">
        <v>13141.43</v>
      </c>
      <c r="D57" s="177">
        <v>2797.83</v>
      </c>
      <c r="E57" s="177">
        <v>10343.6</v>
      </c>
      <c r="F57" s="177">
        <v>549222.67</v>
      </c>
      <c r="I57" s="159">
        <v>49</v>
      </c>
      <c r="J57" s="176">
        <v>46975</v>
      </c>
      <c r="K57" s="160">
        <f t="shared" si="7"/>
        <v>26282.8604202788</v>
      </c>
      <c r="L57" s="160">
        <f t="shared" si="0"/>
        <v>5618.90305663044</v>
      </c>
      <c r="M57" s="160">
        <f t="shared" si="1"/>
        <v>20663.9573636484</v>
      </c>
      <c r="N57" s="160">
        <f t="shared" si="2"/>
        <v>1103116.65396244</v>
      </c>
      <c r="S57" s="159"/>
      <c r="T57" s="159"/>
      <c r="U57" s="159"/>
      <c r="V57" s="159"/>
    </row>
    <row r="58" ht="23" customHeight="1" spans="1:22">
      <c r="A58" s="175">
        <v>50</v>
      </c>
      <c r="B58" s="176">
        <v>47006</v>
      </c>
      <c r="C58" s="177">
        <v>13141.43</v>
      </c>
      <c r="D58" s="177">
        <v>2746.11</v>
      </c>
      <c r="E58" s="177">
        <v>10395.32</v>
      </c>
      <c r="F58" s="177">
        <v>538827.35</v>
      </c>
      <c r="I58" s="159">
        <v>50</v>
      </c>
      <c r="J58" s="176">
        <v>47006</v>
      </c>
      <c r="K58" s="160">
        <f t="shared" si="7"/>
        <v>26282.8604202788</v>
      </c>
      <c r="L58" s="160">
        <f t="shared" si="0"/>
        <v>5515.5832698122</v>
      </c>
      <c r="M58" s="160">
        <f t="shared" si="1"/>
        <v>20767.2771504666</v>
      </c>
      <c r="N58" s="160">
        <f t="shared" si="2"/>
        <v>1082349.37681197</v>
      </c>
      <c r="S58" s="159"/>
      <c r="T58" s="159"/>
      <c r="U58" s="159"/>
      <c r="V58" s="159"/>
    </row>
    <row r="59" ht="23" customHeight="1" spans="1:22">
      <c r="A59" s="175">
        <v>51</v>
      </c>
      <c r="B59" s="176">
        <v>47036</v>
      </c>
      <c r="C59" s="177">
        <v>13141.43</v>
      </c>
      <c r="D59" s="177">
        <v>2694.14</v>
      </c>
      <c r="E59" s="177">
        <v>10447.29</v>
      </c>
      <c r="F59" s="177">
        <v>528380.06</v>
      </c>
      <c r="I59" s="159">
        <v>51</v>
      </c>
      <c r="J59" s="176">
        <v>47036</v>
      </c>
      <c r="K59" s="160">
        <f t="shared" si="7"/>
        <v>26282.8604202788</v>
      </c>
      <c r="L59" s="160">
        <f t="shared" si="0"/>
        <v>5411.74688405987</v>
      </c>
      <c r="M59" s="160">
        <f t="shared" si="1"/>
        <v>20871.113536219</v>
      </c>
      <c r="N59" s="160">
        <f t="shared" si="2"/>
        <v>1061478.26327576</v>
      </c>
      <c r="S59" s="159"/>
      <c r="T59" s="159"/>
      <c r="U59" s="159"/>
      <c r="V59" s="159"/>
    </row>
    <row r="60" ht="23" customHeight="1" spans="1:22">
      <c r="A60" s="175">
        <v>52</v>
      </c>
      <c r="B60" s="176">
        <v>47067</v>
      </c>
      <c r="C60" s="177">
        <v>13141.43</v>
      </c>
      <c r="D60" s="177">
        <v>2641.9</v>
      </c>
      <c r="E60" s="177">
        <v>10499.53</v>
      </c>
      <c r="F60" s="177">
        <v>517880.53</v>
      </c>
      <c r="I60" s="159">
        <v>52</v>
      </c>
      <c r="J60" s="176">
        <v>47067</v>
      </c>
      <c r="K60" s="160">
        <f t="shared" si="7"/>
        <v>26282.8604202788</v>
      </c>
      <c r="L60" s="160">
        <f t="shared" si="0"/>
        <v>5307.39131637878</v>
      </c>
      <c r="M60" s="160">
        <f t="shared" si="1"/>
        <v>20975.4691039001</v>
      </c>
      <c r="N60" s="160">
        <f t="shared" si="2"/>
        <v>1040502.79417186</v>
      </c>
      <c r="S60" s="159"/>
      <c r="T60" s="159"/>
      <c r="U60" s="159"/>
      <c r="V60" s="159"/>
    </row>
    <row r="61" ht="23" customHeight="1" spans="1:22">
      <c r="A61" s="175">
        <v>53</v>
      </c>
      <c r="B61" s="176">
        <v>47097</v>
      </c>
      <c r="C61" s="177">
        <v>13141.43</v>
      </c>
      <c r="D61" s="177">
        <v>2589.4</v>
      </c>
      <c r="E61" s="177">
        <v>10552.03</v>
      </c>
      <c r="F61" s="177">
        <v>507328.5</v>
      </c>
      <c r="I61" s="159">
        <v>53</v>
      </c>
      <c r="J61" s="176">
        <v>47097</v>
      </c>
      <c r="K61" s="160">
        <f t="shared" si="7"/>
        <v>26282.8604202788</v>
      </c>
      <c r="L61" s="160">
        <f t="shared" si="0"/>
        <v>5202.51397085928</v>
      </c>
      <c r="M61" s="160">
        <f t="shared" si="1"/>
        <v>21080.3464494196</v>
      </c>
      <c r="N61" s="160">
        <f t="shared" si="2"/>
        <v>1019422.44772244</v>
      </c>
      <c r="S61" s="159"/>
      <c r="T61" s="159"/>
      <c r="U61" s="159"/>
      <c r="V61" s="159"/>
    </row>
    <row r="62" ht="23" customHeight="1" spans="1:22">
      <c r="A62" s="175">
        <v>54</v>
      </c>
      <c r="B62" s="176">
        <v>47128</v>
      </c>
      <c r="C62" s="177">
        <v>13141.43</v>
      </c>
      <c r="D62" s="177">
        <v>2536.64</v>
      </c>
      <c r="E62" s="177">
        <v>10604.79</v>
      </c>
      <c r="F62" s="177">
        <v>496723.71</v>
      </c>
      <c r="I62" s="159">
        <v>54</v>
      </c>
      <c r="J62" s="176">
        <v>47128</v>
      </c>
      <c r="K62" s="160">
        <f t="shared" si="7"/>
        <v>26282.8604202788</v>
      </c>
      <c r="L62" s="160">
        <f t="shared" si="0"/>
        <v>5097.11223861218</v>
      </c>
      <c r="M62" s="160">
        <f t="shared" si="1"/>
        <v>21185.7481816667</v>
      </c>
      <c r="N62" s="160">
        <f t="shared" si="2"/>
        <v>998236.699540769</v>
      </c>
      <c r="S62" s="159"/>
      <c r="T62" s="159"/>
      <c r="U62" s="159"/>
      <c r="V62" s="159"/>
    </row>
    <row r="63" ht="23" customHeight="1" spans="1:22">
      <c r="A63" s="175">
        <v>55</v>
      </c>
      <c r="B63" s="176">
        <v>47159</v>
      </c>
      <c r="C63" s="177">
        <v>13141.43</v>
      </c>
      <c r="D63" s="177">
        <v>2483.62</v>
      </c>
      <c r="E63" s="177">
        <v>10657.81</v>
      </c>
      <c r="F63" s="177">
        <v>486065.9</v>
      </c>
      <c r="I63" s="159">
        <v>55</v>
      </c>
      <c r="J63" s="176">
        <v>47159</v>
      </c>
      <c r="K63" s="160">
        <f t="shared" si="7"/>
        <v>26282.8604202788</v>
      </c>
      <c r="L63" s="160">
        <f t="shared" si="0"/>
        <v>4991.18349770384</v>
      </c>
      <c r="M63" s="160">
        <f t="shared" si="1"/>
        <v>21291.676922575</v>
      </c>
      <c r="N63" s="160">
        <f t="shared" si="2"/>
        <v>976945.022618194</v>
      </c>
      <c r="S63" s="159"/>
      <c r="T63" s="159"/>
      <c r="U63" s="159"/>
      <c r="V63" s="159"/>
    </row>
    <row r="64" ht="23" customHeight="1" spans="1:22">
      <c r="A64" s="175">
        <v>56</v>
      </c>
      <c r="B64" s="176">
        <v>47187</v>
      </c>
      <c r="C64" s="177">
        <v>13141.43</v>
      </c>
      <c r="D64" s="177">
        <v>2430.33</v>
      </c>
      <c r="E64" s="177">
        <v>10711.1</v>
      </c>
      <c r="F64" s="177">
        <v>475354.8</v>
      </c>
      <c r="I64" s="159">
        <v>56</v>
      </c>
      <c r="J64" s="176">
        <v>47187</v>
      </c>
      <c r="K64" s="160">
        <f t="shared" si="7"/>
        <v>26282.8604202788</v>
      </c>
      <c r="L64" s="160">
        <f t="shared" si="0"/>
        <v>4884.72511309097</v>
      </c>
      <c r="M64" s="160">
        <f t="shared" si="1"/>
        <v>21398.1353071879</v>
      </c>
      <c r="N64" s="160">
        <f t="shared" si="2"/>
        <v>955546.887311006</v>
      </c>
      <c r="S64" s="159"/>
      <c r="T64" s="159"/>
      <c r="U64" s="159"/>
      <c r="V64" s="159"/>
    </row>
    <row r="65" ht="23" customHeight="1" spans="1:22">
      <c r="A65" s="175">
        <v>57</v>
      </c>
      <c r="B65" s="176">
        <v>47218</v>
      </c>
      <c r="C65" s="177">
        <v>13141.43</v>
      </c>
      <c r="D65" s="177">
        <v>2376.77</v>
      </c>
      <c r="E65" s="177">
        <v>10764.66</v>
      </c>
      <c r="F65" s="177">
        <v>464590.14</v>
      </c>
      <c r="I65" s="159">
        <v>57</v>
      </c>
      <c r="J65" s="176">
        <v>47218</v>
      </c>
      <c r="K65" s="160">
        <f t="shared" si="7"/>
        <v>26282.8604202788</v>
      </c>
      <c r="L65" s="160">
        <f t="shared" si="0"/>
        <v>4777.73443655503</v>
      </c>
      <c r="M65" s="160">
        <f t="shared" si="1"/>
        <v>21505.1259837238</v>
      </c>
      <c r="N65" s="160">
        <f t="shared" si="2"/>
        <v>934041.761327282</v>
      </c>
      <c r="S65" s="159"/>
      <c r="T65" s="159"/>
      <c r="U65" s="159"/>
      <c r="V65" s="159"/>
    </row>
    <row r="66" ht="23" customHeight="1" spans="1:22">
      <c r="A66" s="175">
        <v>58</v>
      </c>
      <c r="B66" s="176">
        <v>47248</v>
      </c>
      <c r="C66" s="177">
        <v>13141.43</v>
      </c>
      <c r="D66" s="177">
        <v>2322.95</v>
      </c>
      <c r="E66" s="177">
        <v>10818.48</v>
      </c>
      <c r="F66" s="177">
        <v>453771.66</v>
      </c>
      <c r="I66" s="159">
        <v>58</v>
      </c>
      <c r="J66" s="176">
        <v>47248</v>
      </c>
      <c r="K66" s="160">
        <f t="shared" si="7"/>
        <v>26282.8604202788</v>
      </c>
      <c r="L66" s="160">
        <f t="shared" si="0"/>
        <v>4670.20880663641</v>
      </c>
      <c r="M66" s="160">
        <f t="shared" si="1"/>
        <v>21612.6516136424</v>
      </c>
      <c r="N66" s="160">
        <f t="shared" si="2"/>
        <v>912429.10971364</v>
      </c>
      <c r="S66" s="159"/>
      <c r="T66" s="159"/>
      <c r="U66" s="159"/>
      <c r="V66" s="159"/>
    </row>
    <row r="67" ht="23" customHeight="1" spans="1:22">
      <c r="A67" s="175">
        <v>59</v>
      </c>
      <c r="B67" s="176">
        <v>47279</v>
      </c>
      <c r="C67" s="177">
        <v>13141.43</v>
      </c>
      <c r="D67" s="177">
        <v>2268.86</v>
      </c>
      <c r="E67" s="177">
        <v>10872.57</v>
      </c>
      <c r="F67" s="177">
        <v>442899.09</v>
      </c>
      <c r="I67" s="159">
        <v>59</v>
      </c>
      <c r="J67" s="176">
        <v>47279</v>
      </c>
      <c r="K67" s="160">
        <f t="shared" si="7"/>
        <v>26282.8604202788</v>
      </c>
      <c r="L67" s="160">
        <f t="shared" si="0"/>
        <v>4562.1455485682</v>
      </c>
      <c r="M67" s="160">
        <f t="shared" si="1"/>
        <v>21720.7148717107</v>
      </c>
      <c r="N67" s="160">
        <f t="shared" si="2"/>
        <v>890708.394841929</v>
      </c>
      <c r="S67" s="159"/>
      <c r="T67" s="159"/>
      <c r="U67" s="159"/>
      <c r="V67" s="159"/>
    </row>
    <row r="68" ht="23" customHeight="1" spans="1:22">
      <c r="A68" s="175">
        <v>60</v>
      </c>
      <c r="B68" s="176">
        <v>47309</v>
      </c>
      <c r="C68" s="177">
        <v>13141.43</v>
      </c>
      <c r="D68" s="177">
        <v>2214.5</v>
      </c>
      <c r="E68" s="177">
        <v>10926.93</v>
      </c>
      <c r="F68" s="177">
        <v>431972.16</v>
      </c>
      <c r="I68" s="159">
        <v>60</v>
      </c>
      <c r="J68" s="176">
        <v>47309</v>
      </c>
      <c r="K68" s="160">
        <f t="shared" si="7"/>
        <v>26282.8604202788</v>
      </c>
      <c r="L68" s="160">
        <f t="shared" si="0"/>
        <v>4453.54197420964</v>
      </c>
      <c r="M68" s="160">
        <f t="shared" si="1"/>
        <v>21829.3184460692</v>
      </c>
      <c r="N68" s="160">
        <f t="shared" si="2"/>
        <v>868879.07639586</v>
      </c>
      <c r="S68" s="159"/>
      <c r="T68" s="159"/>
      <c r="U68" s="159"/>
      <c r="V68" s="159"/>
    </row>
    <row r="69" ht="23" customHeight="1" spans="1:22">
      <c r="A69" s="175">
        <v>61</v>
      </c>
      <c r="B69" s="176">
        <v>47340</v>
      </c>
      <c r="C69" s="177">
        <v>13141.43</v>
      </c>
      <c r="D69" s="177">
        <v>2159.86</v>
      </c>
      <c r="E69" s="177">
        <v>10981.57</v>
      </c>
      <c r="F69" s="177">
        <v>420990.59</v>
      </c>
      <c r="I69" s="159">
        <v>61</v>
      </c>
      <c r="J69" s="176">
        <v>47340</v>
      </c>
      <c r="K69" s="160">
        <f t="shared" si="7"/>
        <v>26282.8604202788</v>
      </c>
      <c r="L69" s="160">
        <f t="shared" si="0"/>
        <v>4344.3953819793</v>
      </c>
      <c r="M69" s="160">
        <f t="shared" si="1"/>
        <v>21938.4650382995</v>
      </c>
      <c r="N69" s="160">
        <f t="shared" si="2"/>
        <v>846940.61135756</v>
      </c>
      <c r="S69" s="159"/>
      <c r="T69" s="159"/>
      <c r="U69" s="159"/>
      <c r="V69" s="159"/>
    </row>
    <row r="70" ht="23" customHeight="1" spans="1:22">
      <c r="A70" s="175">
        <v>62</v>
      </c>
      <c r="B70" s="176">
        <v>47371</v>
      </c>
      <c r="C70" s="177">
        <v>13141.43</v>
      </c>
      <c r="D70" s="177">
        <v>2104.95</v>
      </c>
      <c r="E70" s="177">
        <v>11036.48</v>
      </c>
      <c r="F70" s="177">
        <v>409954.11</v>
      </c>
      <c r="I70" s="159">
        <v>62</v>
      </c>
      <c r="J70" s="176">
        <v>47371</v>
      </c>
      <c r="K70" s="160">
        <f t="shared" si="7"/>
        <v>26282.8604202788</v>
      </c>
      <c r="L70" s="160">
        <f t="shared" si="0"/>
        <v>4234.7030567878</v>
      </c>
      <c r="M70" s="160">
        <f t="shared" si="1"/>
        <v>22048.157363491</v>
      </c>
      <c r="N70" s="160">
        <f t="shared" si="2"/>
        <v>824892.453994069</v>
      </c>
      <c r="S70" s="159"/>
      <c r="T70" s="159"/>
      <c r="U70" s="159"/>
      <c r="V70" s="159"/>
    </row>
    <row r="71" ht="23" customHeight="1" spans="1:22">
      <c r="A71" s="175">
        <v>63</v>
      </c>
      <c r="B71" s="176">
        <v>47401</v>
      </c>
      <c r="C71" s="177">
        <v>13141.43</v>
      </c>
      <c r="D71" s="177">
        <v>2049.77</v>
      </c>
      <c r="E71" s="177">
        <v>11091.66</v>
      </c>
      <c r="F71" s="177">
        <v>398862.45</v>
      </c>
      <c r="I71" s="159">
        <v>63</v>
      </c>
      <c r="J71" s="176">
        <v>47401</v>
      </c>
      <c r="K71" s="160">
        <f t="shared" si="7"/>
        <v>26282.8604202788</v>
      </c>
      <c r="L71" s="160">
        <f t="shared" si="0"/>
        <v>4124.46226997035</v>
      </c>
      <c r="M71" s="160">
        <f t="shared" si="1"/>
        <v>22158.3981503085</v>
      </c>
      <c r="N71" s="160">
        <f t="shared" si="2"/>
        <v>802734.055843761</v>
      </c>
      <c r="S71" s="159"/>
      <c r="T71" s="159"/>
      <c r="U71" s="159"/>
      <c r="V71" s="159"/>
    </row>
    <row r="72" ht="23" customHeight="1" spans="1:22">
      <c r="A72" s="175">
        <v>64</v>
      </c>
      <c r="B72" s="176">
        <v>47432</v>
      </c>
      <c r="C72" s="177">
        <v>13141.43</v>
      </c>
      <c r="D72" s="177">
        <v>1994.31</v>
      </c>
      <c r="E72" s="177">
        <v>11147.12</v>
      </c>
      <c r="F72" s="177">
        <v>387715.33</v>
      </c>
      <c r="I72" s="159">
        <v>64</v>
      </c>
      <c r="J72" s="176">
        <v>47432</v>
      </c>
      <c r="K72" s="160">
        <f t="shared" si="7"/>
        <v>26282.8604202788</v>
      </c>
      <c r="L72" s="160">
        <f t="shared" si="0"/>
        <v>4013.6702792188</v>
      </c>
      <c r="M72" s="160">
        <f t="shared" si="1"/>
        <v>22269.19014106</v>
      </c>
      <c r="N72" s="160">
        <f t="shared" si="2"/>
        <v>780464.865702701</v>
      </c>
      <c r="S72" s="159"/>
      <c r="T72" s="159"/>
      <c r="U72" s="159"/>
      <c r="V72" s="159"/>
    </row>
    <row r="73" ht="23" customHeight="1" spans="1:22">
      <c r="A73" s="175">
        <v>65</v>
      </c>
      <c r="B73" s="176">
        <v>47462</v>
      </c>
      <c r="C73" s="177">
        <v>13141.43</v>
      </c>
      <c r="D73" s="177">
        <v>1938.58</v>
      </c>
      <c r="E73" s="177">
        <v>11202.85</v>
      </c>
      <c r="F73" s="177">
        <v>376512.48</v>
      </c>
      <c r="I73" s="159">
        <v>65</v>
      </c>
      <c r="J73" s="176">
        <v>47462</v>
      </c>
      <c r="K73" s="160">
        <f t="shared" si="7"/>
        <v>26282.8604202788</v>
      </c>
      <c r="L73" s="160">
        <f t="shared" si="0"/>
        <v>3902.3243285135</v>
      </c>
      <c r="M73" s="160">
        <f t="shared" ref="M73:M104" si="9">K73-L73</f>
        <v>22380.5360917653</v>
      </c>
      <c r="N73" s="160">
        <f t="shared" si="2"/>
        <v>758084.329610935</v>
      </c>
      <c r="S73" s="159"/>
      <c r="T73" s="159"/>
      <c r="U73" s="159"/>
      <c r="V73" s="159"/>
    </row>
    <row r="74" ht="23" customHeight="1" spans="1:22">
      <c r="A74" s="175">
        <v>66</v>
      </c>
      <c r="B74" s="176">
        <v>47493</v>
      </c>
      <c r="C74" s="177">
        <v>13141.43</v>
      </c>
      <c r="D74" s="177">
        <v>1882.56</v>
      </c>
      <c r="E74" s="177">
        <v>11258.87</v>
      </c>
      <c r="F74" s="177">
        <v>365253.61</v>
      </c>
      <c r="I74" s="159">
        <v>66</v>
      </c>
      <c r="J74" s="176">
        <v>47493</v>
      </c>
      <c r="K74" s="160">
        <f t="shared" si="7"/>
        <v>26282.8604202788</v>
      </c>
      <c r="L74" s="160">
        <f t="shared" ref="L74:L104" si="10">N73*$L$6/12</f>
        <v>3790.42164805468</v>
      </c>
      <c r="M74" s="160">
        <f t="shared" si="9"/>
        <v>22492.4387722242</v>
      </c>
      <c r="N74" s="160">
        <f t="shared" ref="N74:N104" si="11">N73-M74</f>
        <v>735591.890838711</v>
      </c>
      <c r="S74" s="159"/>
      <c r="T74" s="159"/>
      <c r="U74" s="159"/>
      <c r="V74" s="159"/>
    </row>
    <row r="75" ht="23" customHeight="1" spans="1:22">
      <c r="A75" s="175">
        <v>67</v>
      </c>
      <c r="B75" s="176">
        <v>47524</v>
      </c>
      <c r="C75" s="177">
        <v>13141.43</v>
      </c>
      <c r="D75" s="177">
        <v>1826.27</v>
      </c>
      <c r="E75" s="177">
        <v>11315.16</v>
      </c>
      <c r="F75" s="177">
        <v>353938.45</v>
      </c>
      <c r="I75" s="159">
        <v>67</v>
      </c>
      <c r="J75" s="176">
        <v>47524</v>
      </c>
      <c r="K75" s="160">
        <f t="shared" ref="K75:K103" si="12">K74</f>
        <v>26282.8604202788</v>
      </c>
      <c r="L75" s="160">
        <f t="shared" si="10"/>
        <v>3677.95945419355</v>
      </c>
      <c r="M75" s="160">
        <f t="shared" si="9"/>
        <v>22604.9009660853</v>
      </c>
      <c r="N75" s="160">
        <f t="shared" si="11"/>
        <v>712986.989872626</v>
      </c>
      <c r="S75" s="159"/>
      <c r="T75" s="159"/>
      <c r="U75" s="159"/>
      <c r="V75" s="159"/>
    </row>
    <row r="76" ht="23" customHeight="1" spans="1:22">
      <c r="A76" s="175">
        <v>68</v>
      </c>
      <c r="B76" s="176">
        <v>47552</v>
      </c>
      <c r="C76" s="177">
        <v>13141.43</v>
      </c>
      <c r="D76" s="177">
        <v>1769.69</v>
      </c>
      <c r="E76" s="177">
        <v>11371.74</v>
      </c>
      <c r="F76" s="177">
        <v>342566.71</v>
      </c>
      <c r="I76" s="159">
        <v>68</v>
      </c>
      <c r="J76" s="176">
        <v>47552</v>
      </c>
      <c r="K76" s="160">
        <f t="shared" si="12"/>
        <v>26282.8604202788</v>
      </c>
      <c r="L76" s="160">
        <f t="shared" si="10"/>
        <v>3564.93494936313</v>
      </c>
      <c r="M76" s="160">
        <f t="shared" si="9"/>
        <v>22717.9254709157</v>
      </c>
      <c r="N76" s="160">
        <f t="shared" si="11"/>
        <v>690269.06440171</v>
      </c>
      <c r="S76" s="159"/>
      <c r="T76" s="159"/>
      <c r="U76" s="159"/>
      <c r="V76" s="159"/>
    </row>
    <row r="77" ht="23" customHeight="1" spans="1:22">
      <c r="A77" s="175">
        <v>69</v>
      </c>
      <c r="B77" s="176">
        <v>47583</v>
      </c>
      <c r="C77" s="177">
        <v>13141.43</v>
      </c>
      <c r="D77" s="177">
        <v>1712.83</v>
      </c>
      <c r="E77" s="177">
        <v>11428.6</v>
      </c>
      <c r="F77" s="177">
        <v>331138.11</v>
      </c>
      <c r="I77" s="159">
        <v>69</v>
      </c>
      <c r="J77" s="176">
        <v>47583</v>
      </c>
      <c r="K77" s="160">
        <f t="shared" si="12"/>
        <v>26282.8604202788</v>
      </c>
      <c r="L77" s="160">
        <f t="shared" si="10"/>
        <v>3451.34532200855</v>
      </c>
      <c r="M77" s="160">
        <f t="shared" si="9"/>
        <v>22831.5150982703</v>
      </c>
      <c r="N77" s="160">
        <f t="shared" si="11"/>
        <v>667437.54930344</v>
      </c>
      <c r="S77" s="159"/>
      <c r="T77" s="159"/>
      <c r="U77" s="159"/>
      <c r="V77" s="159"/>
    </row>
    <row r="78" ht="23" customHeight="1" spans="1:22">
      <c r="A78" s="175">
        <v>70</v>
      </c>
      <c r="B78" s="176">
        <v>47613</v>
      </c>
      <c r="C78" s="177">
        <v>13141.43</v>
      </c>
      <c r="D78" s="177">
        <v>1655.69</v>
      </c>
      <c r="E78" s="177">
        <v>11485.74</v>
      </c>
      <c r="F78" s="177">
        <v>319652.37</v>
      </c>
      <c r="I78" s="159">
        <v>70</v>
      </c>
      <c r="J78" s="176">
        <v>47613</v>
      </c>
      <c r="K78" s="160">
        <f t="shared" si="12"/>
        <v>26282.8604202788</v>
      </c>
      <c r="L78" s="160">
        <f t="shared" si="10"/>
        <v>3337.1877465172</v>
      </c>
      <c r="M78" s="160">
        <f t="shared" si="9"/>
        <v>22945.6726737616</v>
      </c>
      <c r="N78" s="160">
        <f t="shared" si="11"/>
        <v>644491.876629678</v>
      </c>
      <c r="S78" s="159"/>
      <c r="T78" s="159"/>
      <c r="U78" s="159"/>
      <c r="V78" s="159"/>
    </row>
    <row r="79" ht="23" customHeight="1" spans="1:22">
      <c r="A79" s="175">
        <v>71</v>
      </c>
      <c r="B79" s="176">
        <v>47644</v>
      </c>
      <c r="C79" s="177">
        <v>13141.43</v>
      </c>
      <c r="D79" s="177">
        <v>1598.26</v>
      </c>
      <c r="E79" s="177">
        <v>11543.17</v>
      </c>
      <c r="F79" s="177">
        <v>308109.2</v>
      </c>
      <c r="I79" s="159">
        <v>71</v>
      </c>
      <c r="J79" s="176">
        <v>47644</v>
      </c>
      <c r="K79" s="160">
        <f t="shared" si="12"/>
        <v>26282.8604202788</v>
      </c>
      <c r="L79" s="160">
        <f t="shared" si="10"/>
        <v>3222.45938314839</v>
      </c>
      <c r="M79" s="160">
        <f t="shared" si="9"/>
        <v>23060.4010371305</v>
      </c>
      <c r="N79" s="160">
        <f t="shared" si="11"/>
        <v>621431.475592548</v>
      </c>
      <c r="S79" s="159"/>
      <c r="T79" s="159"/>
      <c r="U79" s="159"/>
      <c r="V79" s="159"/>
    </row>
    <row r="80" ht="23" customHeight="1" spans="1:22">
      <c r="A80" s="175">
        <v>72</v>
      </c>
      <c r="B80" s="176">
        <v>47674</v>
      </c>
      <c r="C80" s="177">
        <v>13141.43</v>
      </c>
      <c r="D80" s="177">
        <v>1540.55</v>
      </c>
      <c r="E80" s="177">
        <v>11600.88</v>
      </c>
      <c r="F80" s="177">
        <v>296508.32</v>
      </c>
      <c r="I80" s="159">
        <v>72</v>
      </c>
      <c r="J80" s="176">
        <v>47674</v>
      </c>
      <c r="K80" s="160">
        <f t="shared" si="12"/>
        <v>26282.8604202788</v>
      </c>
      <c r="L80" s="160">
        <f t="shared" si="10"/>
        <v>3107.15737796274</v>
      </c>
      <c r="M80" s="160">
        <f t="shared" si="9"/>
        <v>23175.7030423161</v>
      </c>
      <c r="N80" s="160">
        <f t="shared" si="11"/>
        <v>598255.772550232</v>
      </c>
      <c r="S80" s="159"/>
      <c r="T80" s="159"/>
      <c r="U80" s="159"/>
      <c r="V80" s="159"/>
    </row>
    <row r="81" ht="23" customHeight="1" spans="1:22">
      <c r="A81" s="175">
        <v>73</v>
      </c>
      <c r="B81" s="176">
        <v>47705</v>
      </c>
      <c r="C81" s="177">
        <v>13141.43</v>
      </c>
      <c r="D81" s="177">
        <v>1482.54</v>
      </c>
      <c r="E81" s="177">
        <v>11658.89</v>
      </c>
      <c r="F81" s="177">
        <v>284849.43</v>
      </c>
      <c r="I81" s="159">
        <v>73</v>
      </c>
      <c r="J81" s="176">
        <v>47705</v>
      </c>
      <c r="K81" s="160">
        <f t="shared" si="12"/>
        <v>26282.8604202788</v>
      </c>
      <c r="L81" s="160">
        <f t="shared" si="10"/>
        <v>2991.27886275116</v>
      </c>
      <c r="M81" s="160">
        <f t="shared" si="9"/>
        <v>23291.5815575277</v>
      </c>
      <c r="N81" s="160">
        <f t="shared" si="11"/>
        <v>574964.190992704</v>
      </c>
      <c r="S81" s="159"/>
      <c r="T81" s="159"/>
      <c r="U81" s="159"/>
      <c r="V81" s="159"/>
    </row>
    <row r="82" ht="23" customHeight="1" spans="1:22">
      <c r="A82" s="175">
        <v>74</v>
      </c>
      <c r="B82" s="176">
        <v>47736</v>
      </c>
      <c r="C82" s="177">
        <v>13141.43</v>
      </c>
      <c r="D82" s="177">
        <v>1424.25</v>
      </c>
      <c r="E82" s="177">
        <v>11717.18</v>
      </c>
      <c r="F82" s="177">
        <v>273132.25</v>
      </c>
      <c r="I82" s="159">
        <v>74</v>
      </c>
      <c r="J82" s="176">
        <v>47736</v>
      </c>
      <c r="K82" s="160">
        <f t="shared" si="12"/>
        <v>26282.8604202788</v>
      </c>
      <c r="L82" s="160">
        <f t="shared" si="10"/>
        <v>2874.82095496352</v>
      </c>
      <c r="M82" s="160">
        <f t="shared" si="9"/>
        <v>23408.0394653153</v>
      </c>
      <c r="N82" s="160">
        <f t="shared" si="11"/>
        <v>551556.151527389</v>
      </c>
      <c r="S82" s="159"/>
      <c r="T82" s="159"/>
      <c r="U82" s="159"/>
      <c r="V82" s="159"/>
    </row>
    <row r="83" ht="23" customHeight="1" spans="1:22">
      <c r="A83" s="175">
        <v>75</v>
      </c>
      <c r="B83" s="176">
        <v>47766</v>
      </c>
      <c r="C83" s="177">
        <v>13141.43</v>
      </c>
      <c r="D83" s="177">
        <v>1365.66</v>
      </c>
      <c r="E83" s="177">
        <v>11775.77</v>
      </c>
      <c r="F83" s="177">
        <v>261356.48</v>
      </c>
      <c r="I83" s="159">
        <v>75</v>
      </c>
      <c r="J83" s="176">
        <v>47766</v>
      </c>
      <c r="K83" s="160">
        <f t="shared" si="12"/>
        <v>26282.8604202788</v>
      </c>
      <c r="L83" s="160">
        <f t="shared" si="10"/>
        <v>2757.78075763694</v>
      </c>
      <c r="M83" s="160">
        <f t="shared" si="9"/>
        <v>23525.0796626419</v>
      </c>
      <c r="N83" s="160">
        <f t="shared" si="11"/>
        <v>528031.071864747</v>
      </c>
      <c r="S83" s="159"/>
      <c r="T83" s="159"/>
      <c r="U83" s="159"/>
      <c r="V83" s="159"/>
    </row>
    <row r="84" ht="23" customHeight="1" spans="1:22">
      <c r="A84" s="175">
        <v>76</v>
      </c>
      <c r="B84" s="176">
        <v>47797</v>
      </c>
      <c r="C84" s="177">
        <v>13141.43</v>
      </c>
      <c r="D84" s="177">
        <v>1306.78</v>
      </c>
      <c r="E84" s="177">
        <v>11834.65</v>
      </c>
      <c r="F84" s="177">
        <v>249521.83</v>
      </c>
      <c r="I84" s="159">
        <v>76</v>
      </c>
      <c r="J84" s="176">
        <v>47797</v>
      </c>
      <c r="K84" s="160">
        <f t="shared" si="12"/>
        <v>26282.8604202788</v>
      </c>
      <c r="L84" s="160">
        <f t="shared" si="10"/>
        <v>2640.15535932373</v>
      </c>
      <c r="M84" s="160">
        <f t="shared" si="9"/>
        <v>23642.7050609551</v>
      </c>
      <c r="N84" s="160">
        <f t="shared" si="11"/>
        <v>504388.366803792</v>
      </c>
      <c r="S84" s="159"/>
      <c r="T84" s="159"/>
      <c r="U84" s="159"/>
      <c r="V84" s="159"/>
    </row>
    <row r="85" ht="23" customHeight="1" spans="1:22">
      <c r="A85" s="175">
        <v>77</v>
      </c>
      <c r="B85" s="176">
        <v>47827</v>
      </c>
      <c r="C85" s="177">
        <v>13141.43</v>
      </c>
      <c r="D85" s="177">
        <v>1247.61</v>
      </c>
      <c r="E85" s="177">
        <v>11893.82</v>
      </c>
      <c r="F85" s="177">
        <v>237628.01</v>
      </c>
      <c r="I85" s="159">
        <v>77</v>
      </c>
      <c r="J85" s="176">
        <v>47827</v>
      </c>
      <c r="K85" s="160">
        <f t="shared" si="12"/>
        <v>26282.8604202788</v>
      </c>
      <c r="L85" s="160">
        <f t="shared" si="10"/>
        <v>2521.94183401896</v>
      </c>
      <c r="M85" s="160">
        <f t="shared" si="9"/>
        <v>23760.9185862599</v>
      </c>
      <c r="N85" s="160">
        <f t="shared" si="11"/>
        <v>480627.448217532</v>
      </c>
      <c r="S85" s="159"/>
      <c r="T85" s="159"/>
      <c r="U85" s="159"/>
      <c r="V85" s="159"/>
    </row>
    <row r="86" ht="23" customHeight="1" spans="1:22">
      <c r="A86" s="175">
        <v>78</v>
      </c>
      <c r="B86" s="176">
        <v>47858</v>
      </c>
      <c r="C86" s="177">
        <v>13141.43</v>
      </c>
      <c r="D86" s="177">
        <v>1188.14</v>
      </c>
      <c r="E86" s="177">
        <v>11953.29</v>
      </c>
      <c r="F86" s="177">
        <v>225674.72</v>
      </c>
      <c r="I86" s="159">
        <v>78</v>
      </c>
      <c r="J86" s="176">
        <v>47858</v>
      </c>
      <c r="K86" s="160">
        <f t="shared" si="12"/>
        <v>26282.8604202788</v>
      </c>
      <c r="L86" s="160">
        <f t="shared" si="10"/>
        <v>2403.13724108766</v>
      </c>
      <c r="M86" s="160">
        <f t="shared" si="9"/>
        <v>23879.7231791912</v>
      </c>
      <c r="N86" s="160">
        <f t="shared" si="11"/>
        <v>456747.725038341</v>
      </c>
      <c r="S86" s="159"/>
      <c r="T86" s="159"/>
      <c r="U86" s="159"/>
      <c r="V86" s="159"/>
    </row>
    <row r="87" ht="23" customHeight="1" spans="1:22">
      <c r="A87" s="175">
        <v>79</v>
      </c>
      <c r="B87" s="176">
        <v>47889</v>
      </c>
      <c r="C87" s="177">
        <v>13141.43</v>
      </c>
      <c r="D87" s="177">
        <v>1128.37</v>
      </c>
      <c r="E87" s="177">
        <v>12013.06</v>
      </c>
      <c r="F87" s="177">
        <v>213661.66</v>
      </c>
      <c r="I87" s="159">
        <v>79</v>
      </c>
      <c r="J87" s="176">
        <v>47889</v>
      </c>
      <c r="K87" s="160">
        <f t="shared" si="12"/>
        <v>26282.8604202788</v>
      </c>
      <c r="L87" s="160">
        <f t="shared" si="10"/>
        <v>2283.7386251917</v>
      </c>
      <c r="M87" s="160">
        <f t="shared" si="9"/>
        <v>23999.1217950871</v>
      </c>
      <c r="N87" s="160">
        <f t="shared" si="11"/>
        <v>432748.603243253</v>
      </c>
      <c r="S87" s="159"/>
      <c r="T87" s="159"/>
      <c r="U87" s="159"/>
      <c r="V87" s="159"/>
    </row>
    <row r="88" ht="23" customHeight="1" spans="1:22">
      <c r="A88" s="175">
        <v>80</v>
      </c>
      <c r="B88" s="176">
        <v>47917</v>
      </c>
      <c r="C88" s="177">
        <v>13141.43</v>
      </c>
      <c r="D88" s="177">
        <v>1068.31</v>
      </c>
      <c r="E88" s="177">
        <v>12073.12</v>
      </c>
      <c r="F88" s="177">
        <v>201588.54</v>
      </c>
      <c r="I88" s="159">
        <v>80</v>
      </c>
      <c r="J88" s="176">
        <v>47917</v>
      </c>
      <c r="K88" s="160">
        <f t="shared" si="12"/>
        <v>26282.8604202788</v>
      </c>
      <c r="L88" s="160">
        <f t="shared" si="10"/>
        <v>2163.74301621627</v>
      </c>
      <c r="M88" s="160">
        <f t="shared" si="9"/>
        <v>24119.1174040626</v>
      </c>
      <c r="N88" s="160">
        <f t="shared" si="11"/>
        <v>408629.485839191</v>
      </c>
      <c r="S88" s="159"/>
      <c r="T88" s="159"/>
      <c r="U88" s="159"/>
      <c r="V88" s="159"/>
    </row>
    <row r="89" ht="23" customHeight="1" spans="1:22">
      <c r="A89" s="175">
        <v>81</v>
      </c>
      <c r="B89" s="176">
        <v>47948</v>
      </c>
      <c r="C89" s="177">
        <v>13141.43</v>
      </c>
      <c r="D89" s="177">
        <v>1007.94</v>
      </c>
      <c r="E89" s="177">
        <v>12133.49</v>
      </c>
      <c r="F89" s="177">
        <v>189455.05</v>
      </c>
      <c r="I89" s="159">
        <v>81</v>
      </c>
      <c r="J89" s="176">
        <v>47948</v>
      </c>
      <c r="K89" s="160">
        <f t="shared" si="12"/>
        <v>26282.8604202788</v>
      </c>
      <c r="L89" s="160">
        <f t="shared" si="10"/>
        <v>2043.14742919595</v>
      </c>
      <c r="M89" s="160">
        <f t="shared" si="9"/>
        <v>24239.7129910829</v>
      </c>
      <c r="N89" s="160">
        <f t="shared" si="11"/>
        <v>384389.772848108</v>
      </c>
      <c r="S89" s="159"/>
      <c r="T89" s="159"/>
      <c r="U89" s="159"/>
      <c r="V89" s="159"/>
    </row>
    <row r="90" ht="23" customHeight="1" spans="1:22">
      <c r="A90" s="175">
        <v>82</v>
      </c>
      <c r="B90" s="176">
        <v>47978</v>
      </c>
      <c r="C90" s="177">
        <v>13141.43</v>
      </c>
      <c r="D90" s="177">
        <v>947.28</v>
      </c>
      <c r="E90" s="177">
        <v>12194.15</v>
      </c>
      <c r="F90" s="177">
        <v>177260.9</v>
      </c>
      <c r="I90" s="159">
        <v>82</v>
      </c>
      <c r="J90" s="176">
        <v>47978</v>
      </c>
      <c r="K90" s="160">
        <f t="shared" si="12"/>
        <v>26282.8604202788</v>
      </c>
      <c r="L90" s="160">
        <f t="shared" si="10"/>
        <v>1921.94886424054</v>
      </c>
      <c r="M90" s="160">
        <f t="shared" si="9"/>
        <v>24360.9115560383</v>
      </c>
      <c r="N90" s="160">
        <f t="shared" si="11"/>
        <v>360028.86129207</v>
      </c>
      <c r="S90" s="159"/>
      <c r="T90" s="159"/>
      <c r="U90" s="159"/>
      <c r="V90" s="159"/>
    </row>
    <row r="91" ht="23" customHeight="1" spans="1:22">
      <c r="A91" s="175">
        <v>83</v>
      </c>
      <c r="B91" s="176">
        <v>48009</v>
      </c>
      <c r="C91" s="177">
        <v>13141.43</v>
      </c>
      <c r="D91" s="177">
        <v>886.3</v>
      </c>
      <c r="E91" s="177">
        <v>12255.13</v>
      </c>
      <c r="F91" s="177">
        <v>165005.77</v>
      </c>
      <c r="I91" s="159">
        <v>83</v>
      </c>
      <c r="J91" s="176">
        <v>48009</v>
      </c>
      <c r="K91" s="160">
        <f t="shared" si="12"/>
        <v>26282.8604202788</v>
      </c>
      <c r="L91" s="160">
        <f t="shared" si="10"/>
        <v>1800.14430646035</v>
      </c>
      <c r="M91" s="160">
        <f t="shared" si="9"/>
        <v>24482.7161138185</v>
      </c>
      <c r="N91" s="160">
        <f t="shared" si="11"/>
        <v>335546.145178251</v>
      </c>
      <c r="S91" s="159"/>
      <c r="T91" s="159"/>
      <c r="U91" s="159"/>
      <c r="V91" s="159"/>
    </row>
    <row r="92" ht="23" customHeight="1" spans="1:22">
      <c r="A92" s="175">
        <v>84</v>
      </c>
      <c r="B92" s="176">
        <v>48039</v>
      </c>
      <c r="C92" s="177">
        <v>13141.43</v>
      </c>
      <c r="D92" s="177">
        <v>825.03</v>
      </c>
      <c r="E92" s="177">
        <v>12316.4</v>
      </c>
      <c r="F92" s="177">
        <v>152689.37</v>
      </c>
      <c r="I92" s="159">
        <v>84</v>
      </c>
      <c r="J92" s="176">
        <v>48039</v>
      </c>
      <c r="K92" s="160">
        <f t="shared" si="12"/>
        <v>26282.8604202788</v>
      </c>
      <c r="L92" s="160">
        <f t="shared" si="10"/>
        <v>1677.73072589126</v>
      </c>
      <c r="M92" s="160">
        <f t="shared" si="9"/>
        <v>24605.1296943876</v>
      </c>
      <c r="N92" s="160">
        <f t="shared" si="11"/>
        <v>310941.015483864</v>
      </c>
      <c r="S92" s="159"/>
      <c r="T92" s="159"/>
      <c r="U92" s="159"/>
      <c r="V92" s="159"/>
    </row>
    <row r="93" ht="23" customHeight="1" spans="1:22">
      <c r="A93" s="175">
        <v>85</v>
      </c>
      <c r="B93" s="176">
        <v>48070</v>
      </c>
      <c r="C93" s="177">
        <v>13141.43</v>
      </c>
      <c r="D93" s="177">
        <v>763.45</v>
      </c>
      <c r="E93" s="177">
        <v>12377.98</v>
      </c>
      <c r="F93" s="177">
        <v>140311.39</v>
      </c>
      <c r="I93" s="159">
        <v>85</v>
      </c>
      <c r="J93" s="176">
        <v>48070</v>
      </c>
      <c r="K93" s="160">
        <f t="shared" si="12"/>
        <v>26282.8604202788</v>
      </c>
      <c r="L93" s="160">
        <f t="shared" si="10"/>
        <v>1554.70507741932</v>
      </c>
      <c r="M93" s="160">
        <f t="shared" si="9"/>
        <v>24728.1553428595</v>
      </c>
      <c r="N93" s="160">
        <f t="shared" si="11"/>
        <v>286212.860141004</v>
      </c>
      <c r="S93" s="159"/>
      <c r="T93" s="159"/>
      <c r="U93" s="159"/>
      <c r="V93" s="159"/>
    </row>
    <row r="94" ht="23" customHeight="1" spans="1:22">
      <c r="A94" s="175">
        <v>86</v>
      </c>
      <c r="B94" s="176">
        <v>48101</v>
      </c>
      <c r="C94" s="177">
        <v>13141.43</v>
      </c>
      <c r="D94" s="177">
        <v>701.56</v>
      </c>
      <c r="E94" s="177">
        <v>12439.87</v>
      </c>
      <c r="F94" s="177">
        <v>127871.52</v>
      </c>
      <c r="I94" s="159">
        <v>86</v>
      </c>
      <c r="J94" s="176">
        <v>48101</v>
      </c>
      <c r="K94" s="160">
        <f t="shared" si="12"/>
        <v>26282.8604202788</v>
      </c>
      <c r="L94" s="160">
        <f t="shared" si="10"/>
        <v>1431.06430070502</v>
      </c>
      <c r="M94" s="160">
        <f t="shared" si="9"/>
        <v>24851.7961195738</v>
      </c>
      <c r="N94" s="160">
        <f t="shared" si="11"/>
        <v>261361.06402143</v>
      </c>
      <c r="S94" s="159"/>
      <c r="T94" s="159"/>
      <c r="U94" s="159"/>
      <c r="V94" s="159"/>
    </row>
    <row r="95" ht="23" customHeight="1" spans="1:22">
      <c r="A95" s="175">
        <v>87</v>
      </c>
      <c r="B95" s="176">
        <v>48131</v>
      </c>
      <c r="C95" s="177">
        <v>13141.43</v>
      </c>
      <c r="D95" s="177">
        <v>639.36</v>
      </c>
      <c r="E95" s="177">
        <v>12502.07</v>
      </c>
      <c r="F95" s="177">
        <v>115369.45</v>
      </c>
      <c r="I95" s="159">
        <v>87</v>
      </c>
      <c r="J95" s="176">
        <v>48131</v>
      </c>
      <c r="K95" s="160">
        <f t="shared" si="12"/>
        <v>26282.8604202788</v>
      </c>
      <c r="L95" s="160">
        <f t="shared" si="10"/>
        <v>1306.80532010715</v>
      </c>
      <c r="M95" s="160">
        <f t="shared" si="9"/>
        <v>24976.0551001717</v>
      </c>
      <c r="N95" s="160">
        <f t="shared" si="11"/>
        <v>236385.008921259</v>
      </c>
      <c r="S95" s="159"/>
      <c r="T95" s="159"/>
      <c r="U95" s="159"/>
      <c r="V95" s="159"/>
    </row>
    <row r="96" ht="23" customHeight="1" spans="1:22">
      <c r="A96" s="175">
        <v>88</v>
      </c>
      <c r="B96" s="176">
        <v>48162</v>
      </c>
      <c r="C96" s="177">
        <v>13141.43</v>
      </c>
      <c r="D96" s="177">
        <v>576.85</v>
      </c>
      <c r="E96" s="177">
        <v>12564.58</v>
      </c>
      <c r="F96" s="177">
        <v>102804.87</v>
      </c>
      <c r="I96" s="159">
        <v>88</v>
      </c>
      <c r="J96" s="176">
        <v>48162</v>
      </c>
      <c r="K96" s="160">
        <f t="shared" si="12"/>
        <v>26282.8604202788</v>
      </c>
      <c r="L96" s="160">
        <f t="shared" si="10"/>
        <v>1181.92504460629</v>
      </c>
      <c r="M96" s="160">
        <f t="shared" si="9"/>
        <v>25100.9353756726</v>
      </c>
      <c r="N96" s="160">
        <f t="shared" si="11"/>
        <v>211284.073545586</v>
      </c>
      <c r="S96" s="159"/>
      <c r="T96" s="159"/>
      <c r="U96" s="159"/>
      <c r="V96" s="159"/>
    </row>
    <row r="97" ht="23" customHeight="1" spans="1:22">
      <c r="A97" s="175">
        <v>89</v>
      </c>
      <c r="B97" s="176">
        <v>48192</v>
      </c>
      <c r="C97" s="177">
        <v>13141.43</v>
      </c>
      <c r="D97" s="177">
        <v>514.02</v>
      </c>
      <c r="E97" s="177">
        <v>12627.41</v>
      </c>
      <c r="F97" s="177">
        <v>90177.46</v>
      </c>
      <c r="I97" s="159">
        <v>89</v>
      </c>
      <c r="J97" s="176">
        <v>48192</v>
      </c>
      <c r="K97" s="160">
        <f t="shared" si="12"/>
        <v>26282.8604202788</v>
      </c>
      <c r="L97" s="160">
        <f t="shared" si="10"/>
        <v>1056.42036772793</v>
      </c>
      <c r="M97" s="160">
        <f t="shared" si="9"/>
        <v>25226.4400525509</v>
      </c>
      <c r="N97" s="160">
        <f t="shared" si="11"/>
        <v>186057.633493035</v>
      </c>
      <c r="S97" s="159"/>
      <c r="T97" s="159"/>
      <c r="U97" s="159"/>
      <c r="V97" s="159"/>
    </row>
    <row r="98" ht="23" customHeight="1" spans="1:22">
      <c r="A98" s="175">
        <v>90</v>
      </c>
      <c r="B98" s="176">
        <v>48223</v>
      </c>
      <c r="C98" s="177">
        <v>13141.43</v>
      </c>
      <c r="D98" s="177">
        <v>450.89</v>
      </c>
      <c r="E98" s="177">
        <v>12690.54</v>
      </c>
      <c r="F98" s="177">
        <v>77486.92</v>
      </c>
      <c r="I98" s="159">
        <v>90</v>
      </c>
      <c r="J98" s="176">
        <v>48223</v>
      </c>
      <c r="K98" s="160">
        <f t="shared" si="12"/>
        <v>26282.8604202788</v>
      </c>
      <c r="L98" s="160">
        <f t="shared" si="10"/>
        <v>930.288167465175</v>
      </c>
      <c r="M98" s="160">
        <f t="shared" si="9"/>
        <v>25352.5722528137</v>
      </c>
      <c r="N98" s="160">
        <f t="shared" si="11"/>
        <v>160705.061240221</v>
      </c>
      <c r="S98" s="159"/>
      <c r="T98" s="159"/>
      <c r="U98" s="159"/>
      <c r="V98" s="159"/>
    </row>
    <row r="99" ht="23" customHeight="1" spans="1:22">
      <c r="A99" s="175">
        <v>91</v>
      </c>
      <c r="B99" s="176">
        <v>48254</v>
      </c>
      <c r="C99" s="177">
        <v>13141.43</v>
      </c>
      <c r="D99" s="177">
        <v>387.43</v>
      </c>
      <c r="E99" s="177">
        <v>12754</v>
      </c>
      <c r="F99" s="177">
        <v>64732.92</v>
      </c>
      <c r="I99" s="159">
        <v>91</v>
      </c>
      <c r="J99" s="176">
        <v>48254</v>
      </c>
      <c r="K99" s="160">
        <f t="shared" si="12"/>
        <v>26282.8604202788</v>
      </c>
      <c r="L99" s="160">
        <f t="shared" si="10"/>
        <v>803.525306201107</v>
      </c>
      <c r="M99" s="160">
        <f t="shared" si="9"/>
        <v>25479.3351140777</v>
      </c>
      <c r="N99" s="160">
        <f t="shared" si="11"/>
        <v>135225.726126144</v>
      </c>
      <c r="S99" s="159"/>
      <c r="T99" s="159"/>
      <c r="U99" s="159"/>
      <c r="V99" s="159"/>
    </row>
    <row r="100" ht="23" customHeight="1" spans="1:22">
      <c r="A100" s="175">
        <v>92</v>
      </c>
      <c r="B100" s="176">
        <v>48283</v>
      </c>
      <c r="C100" s="177">
        <v>13141.43</v>
      </c>
      <c r="D100" s="177">
        <v>323.66</v>
      </c>
      <c r="E100" s="177">
        <v>12817.77</v>
      </c>
      <c r="F100" s="177">
        <v>51915.15</v>
      </c>
      <c r="I100" s="159">
        <v>92</v>
      </c>
      <c r="J100" s="176">
        <v>48283</v>
      </c>
      <c r="K100" s="160">
        <f t="shared" si="12"/>
        <v>26282.8604202788</v>
      </c>
      <c r="L100" s="160">
        <f t="shared" si="10"/>
        <v>676.128630630718</v>
      </c>
      <c r="M100" s="160">
        <f t="shared" si="9"/>
        <v>25606.7317896481</v>
      </c>
      <c r="N100" s="160">
        <f t="shared" si="11"/>
        <v>109618.994336495</v>
      </c>
      <c r="S100" s="159"/>
      <c r="T100" s="159"/>
      <c r="U100" s="159"/>
      <c r="V100" s="159"/>
    </row>
    <row r="101" ht="23" customHeight="1" spans="1:22">
      <c r="A101" s="175">
        <v>93</v>
      </c>
      <c r="B101" s="176">
        <v>48314</v>
      </c>
      <c r="C101" s="177">
        <v>13141.43</v>
      </c>
      <c r="D101" s="177">
        <v>259.58</v>
      </c>
      <c r="E101" s="177">
        <v>12881.85</v>
      </c>
      <c r="F101" s="177">
        <v>39033.3</v>
      </c>
      <c r="I101" s="159">
        <v>93</v>
      </c>
      <c r="J101" s="176">
        <v>48314</v>
      </c>
      <c r="K101" s="160">
        <f t="shared" si="12"/>
        <v>26282.8604202788</v>
      </c>
      <c r="L101" s="160">
        <f t="shared" si="10"/>
        <v>548.094971682477</v>
      </c>
      <c r="M101" s="160">
        <f t="shared" si="9"/>
        <v>25734.7654485964</v>
      </c>
      <c r="N101" s="160">
        <f t="shared" si="11"/>
        <v>83884.2288878991</v>
      </c>
      <c r="S101" s="159"/>
      <c r="T101" s="159"/>
      <c r="U101" s="159"/>
      <c r="V101" s="159"/>
    </row>
    <row r="102" ht="23" customHeight="1" spans="1:22">
      <c r="A102" s="175">
        <v>94</v>
      </c>
      <c r="B102" s="176">
        <v>48344</v>
      </c>
      <c r="C102" s="177">
        <v>13141.43</v>
      </c>
      <c r="D102" s="177">
        <v>195.17</v>
      </c>
      <c r="E102" s="177">
        <v>12946.26</v>
      </c>
      <c r="F102" s="177">
        <v>26087.04</v>
      </c>
      <c r="I102" s="159">
        <v>94</v>
      </c>
      <c r="J102" s="176">
        <v>48344</v>
      </c>
      <c r="K102" s="160">
        <f t="shared" si="12"/>
        <v>26282.8604202788</v>
      </c>
      <c r="L102" s="160">
        <f t="shared" si="10"/>
        <v>419.421144439495</v>
      </c>
      <c r="M102" s="160">
        <f t="shared" si="9"/>
        <v>25863.4392758394</v>
      </c>
      <c r="N102" s="160">
        <f t="shared" si="11"/>
        <v>58020.7896120597</v>
      </c>
      <c r="S102" s="159"/>
      <c r="T102" s="159"/>
      <c r="U102" s="159"/>
      <c r="V102" s="159"/>
    </row>
    <row r="103" ht="23" customHeight="1" spans="1:22">
      <c r="A103" s="175">
        <v>95</v>
      </c>
      <c r="B103" s="176">
        <v>48375</v>
      </c>
      <c r="C103" s="177">
        <v>13141.43</v>
      </c>
      <c r="D103" s="177">
        <v>130.44</v>
      </c>
      <c r="E103" s="177">
        <v>13010.99</v>
      </c>
      <c r="F103" s="177">
        <v>13076.05</v>
      </c>
      <c r="I103" s="159">
        <v>95</v>
      </c>
      <c r="J103" s="176">
        <v>48375</v>
      </c>
      <c r="K103" s="160">
        <f t="shared" si="12"/>
        <v>26282.8604202788</v>
      </c>
      <c r="L103" s="160">
        <f t="shared" si="10"/>
        <v>290.103948060299</v>
      </c>
      <c r="M103" s="160">
        <f t="shared" si="9"/>
        <v>25992.7564722185</v>
      </c>
      <c r="N103" s="160">
        <f t="shared" si="11"/>
        <v>32028.0331398412</v>
      </c>
      <c r="S103" s="159"/>
      <c r="T103" s="159"/>
      <c r="U103" s="159"/>
      <c r="V103" s="159"/>
    </row>
    <row r="104" ht="23" customHeight="1" spans="1:22">
      <c r="A104" s="175">
        <v>96</v>
      </c>
      <c r="B104" s="176">
        <v>48424</v>
      </c>
      <c r="C104" s="177">
        <v>13182.84</v>
      </c>
      <c r="D104" s="177">
        <v>106.79</v>
      </c>
      <c r="E104" s="177">
        <v>13076.05</v>
      </c>
      <c r="F104" s="177">
        <v>0</v>
      </c>
      <c r="I104" s="159">
        <v>96</v>
      </c>
      <c r="J104" s="176">
        <v>48424</v>
      </c>
      <c r="K104" s="160">
        <f>N103+L104</f>
        <v>32188.1733055404</v>
      </c>
      <c r="L104" s="160">
        <f t="shared" si="10"/>
        <v>160.140165699206</v>
      </c>
      <c r="M104" s="160">
        <f t="shared" si="9"/>
        <v>32028.0331398412</v>
      </c>
      <c r="N104" s="160">
        <f t="shared" si="11"/>
        <v>0</v>
      </c>
      <c r="S104" s="159"/>
      <c r="T104" s="159"/>
      <c r="U104" s="159"/>
      <c r="V104" s="159"/>
    </row>
    <row r="105" ht="23" customHeight="1" spans="1:22">
      <c r="A105" s="174" t="s">
        <v>34</v>
      </c>
      <c r="B105" s="176"/>
      <c r="C105" s="177">
        <v>1258285.36</v>
      </c>
      <c r="D105" s="177">
        <v>258285.36</v>
      </c>
      <c r="E105" s="177">
        <v>1000000</v>
      </c>
      <c r="F105" s="177"/>
      <c r="I105" s="159" t="s">
        <v>34</v>
      </c>
      <c r="K105" s="160">
        <f t="shared" ref="K105:M105" si="13">SUM(K9:K104)</f>
        <v>2523125.07378228</v>
      </c>
      <c r="L105" s="160">
        <f t="shared" si="13"/>
        <v>523125.07378229</v>
      </c>
      <c r="M105" s="160">
        <f t="shared" si="13"/>
        <v>2000000</v>
      </c>
      <c r="S105" s="159"/>
      <c r="T105" s="159"/>
      <c r="U105" s="159"/>
      <c r="V105" s="159"/>
    </row>
    <row r="106" spans="19:22">
      <c r="S106" s="159"/>
      <c r="T106" s="159"/>
      <c r="U106" s="159"/>
      <c r="V106" s="159"/>
    </row>
  </sheetData>
  <mergeCells count="4">
    <mergeCell ref="A1:F1"/>
    <mergeCell ref="I1:N1"/>
    <mergeCell ref="Q1:V1"/>
    <mergeCell ref="A105:B105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01"/>
  <sheetViews>
    <sheetView zoomScale="115" zoomScaleNormal="115" workbookViewId="0">
      <selection activeCell="E38" sqref="E38"/>
    </sheetView>
  </sheetViews>
  <sheetFormatPr defaultColWidth="13.625" defaultRowHeight="20.1" customHeight="1"/>
  <cols>
    <col min="1" max="1" width="22.125" style="144" customWidth="1"/>
    <col min="2" max="2" width="13.625" style="144"/>
    <col min="3" max="3" width="6.875" style="144" customWidth="1"/>
    <col min="4" max="4" width="13.625" style="144"/>
    <col min="5" max="5" width="13.5" style="144" customWidth="1"/>
    <col min="6" max="6" width="14.5" style="144" customWidth="1"/>
    <col min="7" max="7" width="18.25" style="145" customWidth="1"/>
    <col min="8" max="8" width="19.5" style="144" customWidth="1"/>
    <col min="9" max="9" width="16.375" style="144" customWidth="1"/>
    <col min="10" max="10" width="17" style="144" customWidth="1"/>
    <col min="11" max="11" width="16" style="144" customWidth="1"/>
    <col min="12" max="13" width="15.25" style="144" customWidth="1"/>
    <col min="14" max="16383" width="13.625" style="144"/>
  </cols>
  <sheetData>
    <row r="2" customHeight="1" spans="4:8">
      <c r="D2" s="146" t="s">
        <v>180</v>
      </c>
      <c r="E2" s="146"/>
      <c r="F2" s="146"/>
      <c r="G2" s="146"/>
      <c r="H2" s="146"/>
    </row>
    <row r="3" customHeight="1" spans="1:10">
      <c r="A3" s="146" t="s">
        <v>181</v>
      </c>
      <c r="B3" s="147">
        <f>基础数据!H7</f>
        <v>2000000</v>
      </c>
      <c r="D3" s="126" t="s">
        <v>182</v>
      </c>
      <c r="E3" s="148" t="s">
        <v>183</v>
      </c>
      <c r="F3" s="149"/>
      <c r="G3" s="126" t="s">
        <v>184</v>
      </c>
      <c r="H3" s="126" t="s">
        <v>185</v>
      </c>
      <c r="J3" s="156"/>
    </row>
    <row r="4" customHeight="1" spans="1:8">
      <c r="A4" s="146" t="s">
        <v>186</v>
      </c>
      <c r="B4" s="150">
        <v>0.036</v>
      </c>
      <c r="D4" s="126">
        <v>1</v>
      </c>
      <c r="E4" s="151">
        <v>0</v>
      </c>
      <c r="F4" s="152">
        <f>B3</f>
        <v>2000000</v>
      </c>
      <c r="G4" s="152">
        <f t="shared" ref="G4:G11" si="0">F4*$B$4</f>
        <v>72000</v>
      </c>
      <c r="H4" s="152">
        <f>G4</f>
        <v>72000</v>
      </c>
    </row>
    <row r="5" customHeight="1" spans="1:8">
      <c r="A5" s="146" t="s">
        <v>187</v>
      </c>
      <c r="B5" s="150">
        <v>8</v>
      </c>
      <c r="D5" s="126">
        <v>2</v>
      </c>
      <c r="E5" s="151">
        <f>$B$9</f>
        <v>250000</v>
      </c>
      <c r="F5" s="152">
        <f>F4-E5</f>
        <v>1750000</v>
      </c>
      <c r="G5" s="152">
        <f t="shared" si="0"/>
        <v>63000</v>
      </c>
      <c r="H5" s="152">
        <f t="shared" ref="H5:H11" si="1">G5</f>
        <v>63000</v>
      </c>
    </row>
    <row r="6" customHeight="1" spans="4:10">
      <c r="D6" s="126">
        <v>3</v>
      </c>
      <c r="E6" s="151">
        <f t="shared" ref="E5:E13" si="2">$B$9</f>
        <v>250000</v>
      </c>
      <c r="F6" s="152">
        <f t="shared" ref="F5:F11" si="3">F5-E6</f>
        <v>1500000</v>
      </c>
      <c r="G6" s="152">
        <f t="shared" si="0"/>
        <v>54000</v>
      </c>
      <c r="H6" s="152">
        <f t="shared" si="1"/>
        <v>54000</v>
      </c>
      <c r="J6" s="156"/>
    </row>
    <row r="7" customHeight="1" spans="4:8">
      <c r="D7" s="126">
        <v>4</v>
      </c>
      <c r="E7" s="151">
        <f t="shared" si="2"/>
        <v>250000</v>
      </c>
      <c r="F7" s="152">
        <f t="shared" si="3"/>
        <v>1250000</v>
      </c>
      <c r="G7" s="152">
        <f t="shared" si="0"/>
        <v>45000</v>
      </c>
      <c r="H7" s="152">
        <f t="shared" si="1"/>
        <v>45000</v>
      </c>
    </row>
    <row r="8" customHeight="1" spans="1:8">
      <c r="A8" s="146" t="s">
        <v>188</v>
      </c>
      <c r="B8" s="146"/>
      <c r="D8" s="126">
        <v>5</v>
      </c>
      <c r="E8" s="151">
        <f t="shared" si="2"/>
        <v>250000</v>
      </c>
      <c r="F8" s="152">
        <f t="shared" si="3"/>
        <v>1000000</v>
      </c>
      <c r="G8" s="152">
        <f t="shared" si="0"/>
        <v>36000</v>
      </c>
      <c r="H8" s="152">
        <f t="shared" si="1"/>
        <v>36000</v>
      </c>
    </row>
    <row r="9" customHeight="1" spans="1:8">
      <c r="A9" s="146" t="s">
        <v>189</v>
      </c>
      <c r="B9" s="151">
        <f>B3/B5</f>
        <v>250000</v>
      </c>
      <c r="D9" s="126">
        <v>6</v>
      </c>
      <c r="E9" s="151">
        <f t="shared" si="2"/>
        <v>250000</v>
      </c>
      <c r="F9" s="152">
        <f t="shared" si="3"/>
        <v>750000</v>
      </c>
      <c r="G9" s="152">
        <f t="shared" si="0"/>
        <v>27000</v>
      </c>
      <c r="H9" s="152">
        <f t="shared" si="1"/>
        <v>27000</v>
      </c>
    </row>
    <row r="10" customHeight="1" spans="4:8">
      <c r="D10" s="126">
        <v>7</v>
      </c>
      <c r="E10" s="151">
        <f t="shared" si="2"/>
        <v>250000</v>
      </c>
      <c r="F10" s="152">
        <f t="shared" si="3"/>
        <v>500000</v>
      </c>
      <c r="G10" s="152">
        <f t="shared" si="0"/>
        <v>18000</v>
      </c>
      <c r="H10" s="152">
        <f t="shared" si="1"/>
        <v>18000</v>
      </c>
    </row>
    <row r="11" customHeight="1" spans="1:8">
      <c r="A11" s="153" t="s">
        <v>190</v>
      </c>
      <c r="B11" s="153"/>
      <c r="D11" s="126">
        <v>8</v>
      </c>
      <c r="E11" s="151">
        <f t="shared" si="2"/>
        <v>250000</v>
      </c>
      <c r="F11" s="152">
        <f t="shared" si="3"/>
        <v>250000</v>
      </c>
      <c r="G11" s="152">
        <f t="shared" si="0"/>
        <v>9000</v>
      </c>
      <c r="H11" s="152">
        <f t="shared" si="1"/>
        <v>9000</v>
      </c>
    </row>
    <row r="12" customHeight="1" spans="1:8">
      <c r="A12" s="153" t="s">
        <v>191</v>
      </c>
      <c r="B12" s="153"/>
      <c r="D12" s="126">
        <v>9</v>
      </c>
      <c r="E12" s="151">
        <f t="shared" si="2"/>
        <v>250000</v>
      </c>
      <c r="F12" s="152"/>
      <c r="G12" s="152"/>
      <c r="H12" s="152"/>
    </row>
    <row r="13" customHeight="1" spans="4:8">
      <c r="D13" s="126">
        <v>10</v>
      </c>
      <c r="E13" s="151"/>
      <c r="F13" s="152"/>
      <c r="G13" s="152"/>
      <c r="H13" s="152"/>
    </row>
    <row r="14" customHeight="1" spans="4:8">
      <c r="D14" s="126">
        <v>11</v>
      </c>
      <c r="E14" s="151"/>
      <c r="F14" s="152"/>
      <c r="G14" s="152"/>
      <c r="H14" s="152"/>
    </row>
    <row r="15" customHeight="1" spans="4:8">
      <c r="D15" s="126">
        <v>12</v>
      </c>
      <c r="E15" s="151"/>
      <c r="F15" s="152"/>
      <c r="G15" s="152"/>
      <c r="H15" s="152"/>
    </row>
    <row r="16" customHeight="1" spans="4:8">
      <c r="D16" s="126">
        <v>13</v>
      </c>
      <c r="E16" s="151"/>
      <c r="F16" s="152"/>
      <c r="G16" s="152"/>
      <c r="H16" s="152"/>
    </row>
    <row r="17" customHeight="1" spans="4:8">
      <c r="D17" s="126">
        <v>14</v>
      </c>
      <c r="E17" s="151"/>
      <c r="F17" s="152"/>
      <c r="G17" s="152"/>
      <c r="H17" s="152"/>
    </row>
    <row r="18" customHeight="1" spans="4:8">
      <c r="D18" s="126">
        <v>15</v>
      </c>
      <c r="E18" s="151"/>
      <c r="F18" s="152"/>
      <c r="G18" s="152"/>
      <c r="H18" s="152"/>
    </row>
    <row r="19" customHeight="1" spans="4:8">
      <c r="D19" s="126">
        <v>16</v>
      </c>
      <c r="E19" s="151"/>
      <c r="F19" s="152"/>
      <c r="G19" s="152"/>
      <c r="H19" s="152"/>
    </row>
    <row r="20" customHeight="1" spans="4:8">
      <c r="D20" s="126">
        <v>17</v>
      </c>
      <c r="E20" s="151"/>
      <c r="F20" s="152"/>
      <c r="G20" s="152"/>
      <c r="H20" s="152"/>
    </row>
    <row r="21" customHeight="1" spans="4:8">
      <c r="D21" s="126">
        <v>18</v>
      </c>
      <c r="E21" s="151"/>
      <c r="F21" s="152"/>
      <c r="G21" s="152"/>
      <c r="H21" s="152"/>
    </row>
    <row r="22" customHeight="1" spans="4:8">
      <c r="D22" s="126">
        <v>19</v>
      </c>
      <c r="E22" s="151"/>
      <c r="F22" s="152"/>
      <c r="G22" s="152"/>
      <c r="H22" s="152"/>
    </row>
    <row r="23" customHeight="1" spans="4:8">
      <c r="D23" s="126">
        <v>20</v>
      </c>
      <c r="E23" s="151"/>
      <c r="F23" s="152"/>
      <c r="G23" s="152"/>
      <c r="H23" s="152"/>
    </row>
    <row r="24" customHeight="1" spans="4:8">
      <c r="D24" s="126">
        <v>21</v>
      </c>
      <c r="E24" s="151"/>
      <c r="F24" s="154"/>
      <c r="G24" s="154"/>
      <c r="H24" s="154"/>
    </row>
    <row r="25" customHeight="1" spans="4:8">
      <c r="D25" s="126">
        <v>22</v>
      </c>
      <c r="E25" s="151"/>
      <c r="F25" s="155"/>
      <c r="G25" s="155"/>
      <c r="H25" s="155"/>
    </row>
    <row r="26" customHeight="1" spans="4:8">
      <c r="D26" s="126">
        <v>23</v>
      </c>
      <c r="E26" s="151"/>
      <c r="F26" s="126"/>
      <c r="G26" s="126"/>
      <c r="H26" s="126"/>
    </row>
    <row r="27" customHeight="1" spans="4:8">
      <c r="D27" s="126">
        <v>24</v>
      </c>
      <c r="E27" s="151"/>
      <c r="F27" s="126"/>
      <c r="G27" s="126"/>
      <c r="H27" s="126"/>
    </row>
    <row r="28" customHeight="1" spans="4:8">
      <c r="D28" s="126">
        <v>25</v>
      </c>
      <c r="E28" s="151"/>
      <c r="F28" s="126"/>
      <c r="G28" s="126"/>
      <c r="H28" s="126"/>
    </row>
    <row r="29" customHeight="1" spans="4:8">
      <c r="D29" s="126">
        <v>26</v>
      </c>
      <c r="E29" s="151"/>
      <c r="F29" s="126"/>
      <c r="G29" s="126"/>
      <c r="H29" s="126"/>
    </row>
    <row r="30" customHeight="1" spans="4:8">
      <c r="D30" s="126">
        <v>27</v>
      </c>
      <c r="E30" s="151"/>
      <c r="F30" s="126"/>
      <c r="G30" s="126"/>
      <c r="H30" s="126"/>
    </row>
    <row r="31" customHeight="1" spans="4:8">
      <c r="D31" s="126">
        <v>28</v>
      </c>
      <c r="E31" s="151"/>
      <c r="F31" s="126"/>
      <c r="G31" s="126"/>
      <c r="H31" s="126"/>
    </row>
    <row r="32" customHeight="1" spans="4:8">
      <c r="D32" s="126">
        <v>29</v>
      </c>
      <c r="E32" s="151"/>
      <c r="F32" s="126"/>
      <c r="G32" s="126"/>
      <c r="H32" s="126"/>
    </row>
    <row r="33" customHeight="1" spans="4:8">
      <c r="D33" s="126">
        <v>30</v>
      </c>
      <c r="E33" s="151"/>
      <c r="F33" s="126"/>
      <c r="G33" s="155"/>
      <c r="H33" s="126"/>
    </row>
    <row r="34" customHeight="1" spans="4:8">
      <c r="D34" s="126">
        <v>31</v>
      </c>
      <c r="E34" s="151"/>
      <c r="F34" s="126"/>
      <c r="G34" s="155"/>
      <c r="H34" s="126"/>
    </row>
    <row r="35" customHeight="1" spans="4:8">
      <c r="D35" s="126">
        <v>32</v>
      </c>
      <c r="E35" s="151"/>
      <c r="F35" s="126"/>
      <c r="G35" s="155"/>
      <c r="H35" s="126"/>
    </row>
    <row r="36" customHeight="1" spans="4:8">
      <c r="D36" s="126">
        <v>33</v>
      </c>
      <c r="E36" s="151"/>
      <c r="F36" s="126"/>
      <c r="G36" s="155"/>
      <c r="H36" s="126"/>
    </row>
    <row r="37" customHeight="1" spans="4:8">
      <c r="D37" s="126">
        <v>34</v>
      </c>
      <c r="E37" s="151"/>
      <c r="F37" s="126"/>
      <c r="G37" s="155"/>
      <c r="H37" s="126"/>
    </row>
    <row r="38" customHeight="1" spans="4:8">
      <c r="D38" s="126">
        <v>35</v>
      </c>
      <c r="E38" s="151"/>
      <c r="F38" s="126"/>
      <c r="G38" s="155"/>
      <c r="H38" s="126"/>
    </row>
    <row r="39" customHeight="1" spans="4:8">
      <c r="D39" s="126">
        <v>36</v>
      </c>
      <c r="E39" s="151"/>
      <c r="F39" s="126"/>
      <c r="G39" s="155"/>
      <c r="H39" s="126"/>
    </row>
    <row r="40" customHeight="1" spans="4:8">
      <c r="D40" s="126">
        <v>37</v>
      </c>
      <c r="E40" s="151"/>
      <c r="F40" s="126"/>
      <c r="G40" s="155"/>
      <c r="H40" s="126"/>
    </row>
    <row r="41" customHeight="1" spans="4:8">
      <c r="D41" s="126">
        <v>38</v>
      </c>
      <c r="E41" s="151"/>
      <c r="F41" s="126"/>
      <c r="G41" s="155"/>
      <c r="H41" s="126"/>
    </row>
    <row r="42" customHeight="1" spans="4:8">
      <c r="D42" s="126">
        <v>39</v>
      </c>
      <c r="E42" s="151"/>
      <c r="F42" s="126"/>
      <c r="G42" s="155"/>
      <c r="H42" s="126"/>
    </row>
    <row r="43" customHeight="1" spans="4:8">
      <c r="D43" s="126">
        <v>40</v>
      </c>
      <c r="E43" s="151"/>
      <c r="F43" s="126"/>
      <c r="G43" s="155"/>
      <c r="H43" s="126"/>
    </row>
    <row r="44" customHeight="1" spans="4:8">
      <c r="D44" s="126">
        <v>41</v>
      </c>
      <c r="E44" s="151"/>
      <c r="F44" s="126"/>
      <c r="G44" s="155"/>
      <c r="H44" s="126"/>
    </row>
    <row r="45" customHeight="1" spans="4:8">
      <c r="D45" s="126">
        <v>42</v>
      </c>
      <c r="E45" s="151"/>
      <c r="F45" s="126"/>
      <c r="G45" s="155"/>
      <c r="H45" s="126"/>
    </row>
    <row r="46" customHeight="1" spans="4:8">
      <c r="D46" s="126">
        <v>43</v>
      </c>
      <c r="E46" s="151"/>
      <c r="F46" s="126"/>
      <c r="G46" s="155"/>
      <c r="H46" s="126"/>
    </row>
    <row r="47" customHeight="1" spans="4:8">
      <c r="D47" s="126">
        <v>44</v>
      </c>
      <c r="E47" s="151"/>
      <c r="F47" s="126"/>
      <c r="G47" s="155"/>
      <c r="H47" s="126"/>
    </row>
    <row r="48" customHeight="1" spans="4:8">
      <c r="D48" s="126">
        <v>45</v>
      </c>
      <c r="E48" s="151"/>
      <c r="F48" s="126"/>
      <c r="G48" s="155"/>
      <c r="H48" s="126"/>
    </row>
    <row r="49" customHeight="1" spans="4:8">
      <c r="D49" s="126">
        <v>46</v>
      </c>
      <c r="E49" s="151"/>
      <c r="F49" s="126"/>
      <c r="G49" s="155"/>
      <c r="H49" s="126"/>
    </row>
    <row r="50" customHeight="1" spans="4:8">
      <c r="D50" s="126">
        <v>47</v>
      </c>
      <c r="E50" s="151"/>
      <c r="F50" s="126"/>
      <c r="G50" s="155"/>
      <c r="H50" s="126"/>
    </row>
    <row r="51" customHeight="1" spans="4:8">
      <c r="D51" s="126">
        <v>48</v>
      </c>
      <c r="E51" s="151"/>
      <c r="F51" s="126"/>
      <c r="G51" s="155"/>
      <c r="H51" s="126"/>
    </row>
    <row r="52" customHeight="1" spans="4:8">
      <c r="D52" s="126">
        <v>49</v>
      </c>
      <c r="E52" s="151"/>
      <c r="F52" s="126"/>
      <c r="G52" s="155"/>
      <c r="H52" s="126"/>
    </row>
    <row r="53" customHeight="1" spans="4:8">
      <c r="D53" s="126">
        <v>50</v>
      </c>
      <c r="E53" s="151"/>
      <c r="F53" s="126"/>
      <c r="G53" s="155"/>
      <c r="H53" s="126"/>
    </row>
    <row r="54" customHeight="1" spans="4:8">
      <c r="D54" s="126">
        <v>51</v>
      </c>
      <c r="E54" s="151"/>
      <c r="F54" s="126"/>
      <c r="G54" s="155"/>
      <c r="H54" s="126"/>
    </row>
    <row r="55" customHeight="1" spans="4:8">
      <c r="D55" s="126">
        <v>52</v>
      </c>
      <c r="E55" s="151"/>
      <c r="F55" s="126"/>
      <c r="G55" s="155"/>
      <c r="H55" s="126"/>
    </row>
    <row r="56" customHeight="1" spans="4:8">
      <c r="D56" s="126">
        <v>53</v>
      </c>
      <c r="E56" s="151"/>
      <c r="F56" s="126"/>
      <c r="G56" s="155"/>
      <c r="H56" s="126"/>
    </row>
    <row r="57" customHeight="1" spans="4:8">
      <c r="D57" s="126">
        <v>54</v>
      </c>
      <c r="E57" s="151"/>
      <c r="F57" s="126"/>
      <c r="G57" s="155"/>
      <c r="H57" s="126"/>
    </row>
    <row r="58" customHeight="1" spans="4:8">
      <c r="D58" s="126">
        <v>55</v>
      </c>
      <c r="E58" s="151"/>
      <c r="F58" s="126"/>
      <c r="G58" s="155"/>
      <c r="H58" s="126"/>
    </row>
    <row r="59" customHeight="1" spans="4:8">
      <c r="D59" s="126">
        <v>56</v>
      </c>
      <c r="E59" s="151"/>
      <c r="F59" s="126"/>
      <c r="G59" s="155"/>
      <c r="H59" s="126"/>
    </row>
    <row r="60" customHeight="1" spans="4:8">
      <c r="D60" s="126">
        <v>57</v>
      </c>
      <c r="E60" s="151"/>
      <c r="F60" s="126"/>
      <c r="G60" s="155"/>
      <c r="H60" s="126"/>
    </row>
    <row r="61" customHeight="1" spans="4:8">
      <c r="D61" s="126">
        <v>58</v>
      </c>
      <c r="E61" s="151"/>
      <c r="F61" s="126"/>
      <c r="G61" s="155"/>
      <c r="H61" s="126"/>
    </row>
    <row r="62" customHeight="1" spans="4:8">
      <c r="D62" s="126">
        <v>59</v>
      </c>
      <c r="E62" s="151"/>
      <c r="F62" s="126"/>
      <c r="G62" s="155"/>
      <c r="H62" s="126"/>
    </row>
    <row r="63" customHeight="1" spans="4:8">
      <c r="D63" s="126">
        <v>60</v>
      </c>
      <c r="E63" s="151"/>
      <c r="F63" s="126"/>
      <c r="G63" s="155"/>
      <c r="H63" s="126"/>
    </row>
    <row r="64" customHeight="1" spans="4:8">
      <c r="D64" s="126">
        <v>61</v>
      </c>
      <c r="E64" s="151"/>
      <c r="F64" s="126"/>
      <c r="G64" s="155"/>
      <c r="H64" s="126"/>
    </row>
    <row r="65" customHeight="1" spans="4:8">
      <c r="D65" s="126">
        <v>62</v>
      </c>
      <c r="E65" s="151"/>
      <c r="F65" s="126"/>
      <c r="G65" s="155"/>
      <c r="H65" s="126"/>
    </row>
    <row r="66" customHeight="1" spans="4:8">
      <c r="D66" s="126">
        <v>63</v>
      </c>
      <c r="E66" s="151"/>
      <c r="F66" s="126"/>
      <c r="G66" s="155"/>
      <c r="H66" s="126"/>
    </row>
    <row r="67" customHeight="1" spans="4:8">
      <c r="D67" s="126">
        <v>64</v>
      </c>
      <c r="E67" s="151"/>
      <c r="F67" s="126"/>
      <c r="G67" s="155"/>
      <c r="H67" s="126"/>
    </row>
    <row r="68" customHeight="1" spans="4:8">
      <c r="D68" s="126">
        <v>65</v>
      </c>
      <c r="E68" s="151"/>
      <c r="F68" s="126"/>
      <c r="G68" s="155"/>
      <c r="H68" s="126"/>
    </row>
    <row r="69" customHeight="1" spans="4:8">
      <c r="D69" s="126">
        <v>66</v>
      </c>
      <c r="E69" s="151"/>
      <c r="F69" s="126"/>
      <c r="G69" s="155"/>
      <c r="H69" s="126"/>
    </row>
    <row r="70" customHeight="1" spans="4:8">
      <c r="D70" s="126">
        <v>67</v>
      </c>
      <c r="E70" s="151"/>
      <c r="F70" s="126"/>
      <c r="G70" s="155"/>
      <c r="H70" s="126"/>
    </row>
    <row r="71" customHeight="1" spans="4:8">
      <c r="D71" s="126">
        <v>68</v>
      </c>
      <c r="E71" s="151"/>
      <c r="F71" s="126"/>
      <c r="G71" s="155"/>
      <c r="H71" s="126"/>
    </row>
    <row r="72" customHeight="1" spans="4:8">
      <c r="D72" s="126">
        <v>69</v>
      </c>
      <c r="E72" s="151"/>
      <c r="F72" s="126"/>
      <c r="G72" s="155"/>
      <c r="H72" s="126"/>
    </row>
    <row r="73" customHeight="1" spans="4:8">
      <c r="D73" s="126">
        <v>70</v>
      </c>
      <c r="E73" s="151"/>
      <c r="F73" s="126"/>
      <c r="G73" s="155"/>
      <c r="H73" s="126"/>
    </row>
    <row r="74" customHeight="1" spans="4:8">
      <c r="D74" s="126">
        <v>71</v>
      </c>
      <c r="E74" s="151"/>
      <c r="F74" s="126"/>
      <c r="G74" s="155"/>
      <c r="H74" s="126"/>
    </row>
    <row r="75" customHeight="1" spans="4:8">
      <c r="D75" s="126">
        <v>72</v>
      </c>
      <c r="E75" s="151"/>
      <c r="F75" s="126"/>
      <c r="G75" s="155"/>
      <c r="H75" s="126"/>
    </row>
    <row r="76" customHeight="1" spans="4:8">
      <c r="D76" s="126">
        <v>73</v>
      </c>
      <c r="E76" s="151"/>
      <c r="F76" s="126"/>
      <c r="G76" s="155"/>
      <c r="H76" s="126"/>
    </row>
    <row r="77" customHeight="1" spans="4:8">
      <c r="D77" s="126">
        <v>74</v>
      </c>
      <c r="E77" s="151"/>
      <c r="F77" s="126"/>
      <c r="G77" s="155"/>
      <c r="H77" s="126"/>
    </row>
    <row r="78" customHeight="1" spans="4:8">
      <c r="D78" s="126">
        <v>75</v>
      </c>
      <c r="E78" s="151"/>
      <c r="F78" s="126"/>
      <c r="G78" s="155"/>
      <c r="H78" s="126"/>
    </row>
    <row r="79" customHeight="1" spans="4:8">
      <c r="D79" s="126">
        <v>76</v>
      </c>
      <c r="E79" s="151"/>
      <c r="F79" s="126"/>
      <c r="G79" s="155"/>
      <c r="H79" s="126"/>
    </row>
    <row r="80" customHeight="1" spans="4:8">
      <c r="D80" s="126">
        <v>77</v>
      </c>
      <c r="E80" s="151"/>
      <c r="F80" s="126"/>
      <c r="G80" s="155"/>
      <c r="H80" s="126"/>
    </row>
    <row r="81" customHeight="1" spans="4:8">
      <c r="D81" s="126">
        <v>78</v>
      </c>
      <c r="E81" s="151"/>
      <c r="F81" s="126"/>
      <c r="G81" s="155"/>
      <c r="H81" s="126"/>
    </row>
    <row r="82" customHeight="1" spans="4:8">
      <c r="D82" s="126">
        <v>79</v>
      </c>
      <c r="E82" s="151"/>
      <c r="F82" s="126"/>
      <c r="G82" s="155"/>
      <c r="H82" s="126"/>
    </row>
    <row r="83" customHeight="1" spans="4:8">
      <c r="D83" s="126">
        <v>80</v>
      </c>
      <c r="E83" s="151"/>
      <c r="F83" s="126"/>
      <c r="G83" s="155"/>
      <c r="H83" s="126"/>
    </row>
    <row r="84" customHeight="1" spans="4:8">
      <c r="D84" s="126">
        <v>81</v>
      </c>
      <c r="E84" s="151"/>
      <c r="F84" s="126"/>
      <c r="G84" s="155"/>
      <c r="H84" s="126"/>
    </row>
    <row r="85" customHeight="1" spans="4:8">
      <c r="D85" s="126">
        <v>82</v>
      </c>
      <c r="E85" s="151"/>
      <c r="F85" s="126"/>
      <c r="G85" s="155"/>
      <c r="H85" s="126"/>
    </row>
    <row r="86" customHeight="1" spans="4:8">
      <c r="D86" s="126">
        <v>83</v>
      </c>
      <c r="E86" s="151"/>
      <c r="F86" s="126"/>
      <c r="G86" s="155"/>
      <c r="H86" s="126"/>
    </row>
    <row r="87" customHeight="1" spans="4:8">
      <c r="D87" s="126">
        <v>84</v>
      </c>
      <c r="E87" s="151"/>
      <c r="F87" s="126"/>
      <c r="G87" s="155"/>
      <c r="H87" s="126"/>
    </row>
    <row r="88" customHeight="1" spans="4:8">
      <c r="D88" s="126">
        <v>85</v>
      </c>
      <c r="E88" s="151"/>
      <c r="F88" s="126"/>
      <c r="G88" s="155"/>
      <c r="H88" s="126"/>
    </row>
    <row r="89" customHeight="1" spans="4:8">
      <c r="D89" s="126">
        <v>86</v>
      </c>
      <c r="E89" s="151"/>
      <c r="F89" s="126"/>
      <c r="G89" s="155"/>
      <c r="H89" s="126"/>
    </row>
    <row r="90" customHeight="1" spans="4:8">
      <c r="D90" s="126">
        <v>87</v>
      </c>
      <c r="E90" s="151"/>
      <c r="F90" s="126"/>
      <c r="G90" s="155"/>
      <c r="H90" s="126"/>
    </row>
    <row r="91" customHeight="1" spans="4:8">
      <c r="D91" s="126">
        <v>88</v>
      </c>
      <c r="E91" s="151"/>
      <c r="F91" s="126"/>
      <c r="G91" s="155"/>
      <c r="H91" s="126"/>
    </row>
    <row r="92" customHeight="1" spans="4:8">
      <c r="D92" s="126">
        <v>89</v>
      </c>
      <c r="E92" s="151"/>
      <c r="F92" s="126"/>
      <c r="G92" s="155"/>
      <c r="H92" s="126"/>
    </row>
    <row r="93" customHeight="1" spans="4:8">
      <c r="D93" s="126">
        <v>90</v>
      </c>
      <c r="E93" s="151"/>
      <c r="F93" s="126"/>
      <c r="G93" s="155"/>
      <c r="H93" s="126"/>
    </row>
    <row r="94" customHeight="1" spans="4:8">
      <c r="D94" s="126">
        <v>91</v>
      </c>
      <c r="E94" s="151"/>
      <c r="F94" s="126"/>
      <c r="G94" s="155"/>
      <c r="H94" s="126"/>
    </row>
    <row r="95" customHeight="1" spans="4:8">
      <c r="D95" s="126">
        <v>92</v>
      </c>
      <c r="E95" s="151"/>
      <c r="F95" s="126"/>
      <c r="G95" s="155"/>
      <c r="H95" s="126"/>
    </row>
    <row r="96" customHeight="1" spans="4:8">
      <c r="D96" s="126">
        <v>93</v>
      </c>
      <c r="E96" s="151"/>
      <c r="F96" s="126"/>
      <c r="G96" s="155"/>
      <c r="H96" s="126"/>
    </row>
    <row r="97" customHeight="1" spans="4:8">
      <c r="D97" s="126">
        <v>94</v>
      </c>
      <c r="E97" s="151"/>
      <c r="F97" s="126"/>
      <c r="G97" s="155"/>
      <c r="H97" s="126"/>
    </row>
    <row r="98" customHeight="1" spans="4:8">
      <c r="D98" s="126">
        <v>95</v>
      </c>
      <c r="E98" s="151"/>
      <c r="F98" s="126"/>
      <c r="G98" s="155"/>
      <c r="H98" s="126"/>
    </row>
    <row r="99" customHeight="1" spans="4:8">
      <c r="D99" s="126">
        <v>96</v>
      </c>
      <c r="E99" s="151"/>
      <c r="F99" s="126"/>
      <c r="G99" s="155"/>
      <c r="H99" s="126"/>
    </row>
    <row r="100" customHeight="1" spans="4:4">
      <c r="D100" s="157"/>
    </row>
    <row r="101" customHeight="1" spans="4:4">
      <c r="D101" s="157"/>
    </row>
  </sheetData>
  <mergeCells count="5">
    <mergeCell ref="D2:H2"/>
    <mergeCell ref="E3:F3"/>
    <mergeCell ref="A8:B8"/>
    <mergeCell ref="A11:B11"/>
    <mergeCell ref="A12:B1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5" zoomScaleNormal="85" topLeftCell="B1" workbookViewId="0">
      <selection activeCell="J21" sqref="J21"/>
    </sheetView>
  </sheetViews>
  <sheetFormatPr defaultColWidth="9" defaultRowHeight="14.25"/>
  <cols>
    <col min="2" max="2" width="6.375" customWidth="1"/>
    <col min="3" max="3" width="15.5" customWidth="1"/>
    <col min="4" max="4" width="13" style="41" customWidth="1"/>
    <col min="5" max="5" width="12.125" style="41" customWidth="1"/>
    <col min="6" max="6" width="11.375" style="41" customWidth="1"/>
    <col min="7" max="7" width="14.625" customWidth="1"/>
    <col min="8" max="8" width="19" customWidth="1"/>
    <col min="9" max="9" width="20.625" customWidth="1"/>
    <col min="10" max="10" width="31.875" customWidth="1"/>
    <col min="11" max="11" width="16.125" customWidth="1"/>
    <col min="12" max="15" width="9.5" customWidth="1"/>
    <col min="16" max="19" width="16" customWidth="1"/>
  </cols>
  <sheetData>
    <row r="1" ht="17.25" spans="10:19">
      <c r="J1" s="17"/>
      <c r="K1" s="33" t="s">
        <v>55</v>
      </c>
      <c r="L1" s="33"/>
      <c r="M1" s="33"/>
      <c r="N1" s="33"/>
      <c r="O1" s="33"/>
      <c r="P1" s="33"/>
      <c r="Q1" s="33"/>
      <c r="R1" s="33"/>
      <c r="S1" s="33"/>
    </row>
    <row r="2" ht="18.6" customHeight="1" spans="1:19">
      <c r="A2" s="39"/>
      <c r="B2" s="42" t="s">
        <v>192</v>
      </c>
      <c r="C2" s="43"/>
      <c r="D2" s="43"/>
      <c r="E2" s="44" t="s">
        <v>193</v>
      </c>
      <c r="F2" s="44" t="s">
        <v>58</v>
      </c>
      <c r="G2" s="45"/>
      <c r="H2" s="46"/>
      <c r="J2" s="17"/>
      <c r="K2" s="33" t="s">
        <v>61</v>
      </c>
      <c r="L2" s="33" t="s">
        <v>62</v>
      </c>
      <c r="M2" s="33" t="s">
        <v>63</v>
      </c>
      <c r="N2" s="33" t="s">
        <v>64</v>
      </c>
      <c r="O2" s="33" t="s">
        <v>65</v>
      </c>
      <c r="P2" s="33" t="s">
        <v>66</v>
      </c>
      <c r="Q2" s="33" t="s">
        <v>67</v>
      </c>
      <c r="R2" s="33" t="s">
        <v>68</v>
      </c>
      <c r="S2" s="33" t="s">
        <v>69</v>
      </c>
    </row>
    <row r="3" ht="18.6" customHeight="1" spans="1:19">
      <c r="A3" s="39"/>
      <c r="B3" s="47" t="s">
        <v>70</v>
      </c>
      <c r="C3" s="47" t="s">
        <v>71</v>
      </c>
      <c r="D3" s="47" t="s">
        <v>50</v>
      </c>
      <c r="E3" s="48">
        <f>消纳率参数!K31</f>
        <v>0</v>
      </c>
      <c r="F3" s="49">
        <f>1-E3</f>
        <v>1</v>
      </c>
      <c r="G3" s="50" t="s">
        <v>194</v>
      </c>
      <c r="H3" s="50" t="s">
        <v>195</v>
      </c>
      <c r="I3" s="41"/>
      <c r="J3" s="58" t="s">
        <v>81</v>
      </c>
      <c r="K3" s="33"/>
      <c r="L3" s="36">
        <f>光伏发电衰减表min!L3</f>
        <v>1.4773</v>
      </c>
      <c r="M3" s="36">
        <f>光伏发电衰减表min!M3</f>
        <v>1.1872</v>
      </c>
      <c r="N3" s="36">
        <f>光伏发电衰减表min!N3</f>
        <v>0.7097</v>
      </c>
      <c r="O3" s="36" t="s">
        <v>82</v>
      </c>
      <c r="P3" s="33">
        <v>0</v>
      </c>
      <c r="Q3" s="33">
        <v>0</v>
      </c>
      <c r="R3" s="33">
        <v>0</v>
      </c>
      <c r="S3" s="33">
        <v>0</v>
      </c>
    </row>
    <row r="4" ht="18.6" customHeight="1" spans="1:19">
      <c r="A4" s="39"/>
      <c r="B4" s="47">
        <v>1</v>
      </c>
      <c r="C4" s="51">
        <v>0.99</v>
      </c>
      <c r="D4" s="52" t="e">
        <f t="shared" ref="D4:D33" si="0">$J$10*C4</f>
        <v>#REF!</v>
      </c>
      <c r="E4" s="53" t="e">
        <f>D4*E3</f>
        <v>#REF!</v>
      </c>
      <c r="F4" s="53" t="e">
        <f>D4*F3</f>
        <v>#REF!</v>
      </c>
      <c r="G4" s="54" t="e">
        <f>$J$12*C4*$E$3*$L$8*(1-$J$6)+$J$14*C4*$E$3*$L$17*(1-$J$6)</f>
        <v>#REF!</v>
      </c>
      <c r="H4" s="54" t="e">
        <f t="shared" ref="H4:H33" si="1">D4/12</f>
        <v>#REF!</v>
      </c>
      <c r="I4" s="57"/>
      <c r="J4" s="140">
        <v>0.453</v>
      </c>
      <c r="K4" s="141" t="s">
        <v>83</v>
      </c>
      <c r="L4" s="33" t="s">
        <v>62</v>
      </c>
      <c r="M4" s="33" t="s">
        <v>63</v>
      </c>
      <c r="N4" s="33" t="s">
        <v>64</v>
      </c>
      <c r="O4" s="33" t="s">
        <v>65</v>
      </c>
      <c r="P4" s="62"/>
      <c r="Q4" s="17"/>
      <c r="R4" s="17"/>
      <c r="S4" s="17"/>
    </row>
    <row r="5" ht="18.6" customHeight="1" spans="1:19">
      <c r="A5" s="39"/>
      <c r="B5" s="47">
        <v>2</v>
      </c>
      <c r="C5" s="51">
        <f t="shared" ref="C5:C33" si="2">C4-0.004</f>
        <v>0.986</v>
      </c>
      <c r="D5" s="52" t="e">
        <f t="shared" si="0"/>
        <v>#REF!</v>
      </c>
      <c r="E5" s="53" t="e">
        <f t="shared" ref="E5:E33" si="3">D5*$E$3</f>
        <v>#REF!</v>
      </c>
      <c r="F5" s="53" t="e">
        <f t="shared" ref="F5:F33" si="4">D5*$F$3</f>
        <v>#REF!</v>
      </c>
      <c r="G5" s="54" t="e">
        <f t="shared" ref="G5:G33" si="5">$J$12*C5*$E$3*$L$8*(1-$J$6)+$J$14*C5*$E$3*$L$17*(1-$J$6)</f>
        <v>#REF!</v>
      </c>
      <c r="H5" s="54" t="e">
        <f t="shared" si="1"/>
        <v>#REF!</v>
      </c>
      <c r="I5" s="57"/>
      <c r="J5" s="70" t="s">
        <v>196</v>
      </c>
      <c r="K5" s="76"/>
      <c r="L5" s="64">
        <f>L3+P3+S3</f>
        <v>1.4773</v>
      </c>
      <c r="M5" s="64">
        <f>M3+Q3+S3</f>
        <v>1.1872</v>
      </c>
      <c r="N5" s="64">
        <f>N3+R3+S3</f>
        <v>0.7097</v>
      </c>
      <c r="O5" s="64" t="s">
        <v>82</v>
      </c>
      <c r="P5" s="63"/>
      <c r="Q5" s="17"/>
      <c r="R5" s="17"/>
      <c r="S5" s="17"/>
    </row>
    <row r="6" ht="18.6" customHeight="1" spans="1:19">
      <c r="A6" s="39"/>
      <c r="B6" s="47">
        <v>3</v>
      </c>
      <c r="C6" s="51">
        <f t="shared" si="2"/>
        <v>0.982</v>
      </c>
      <c r="D6" s="52" t="e">
        <f t="shared" si="0"/>
        <v>#REF!</v>
      </c>
      <c r="E6" s="53" t="e">
        <f t="shared" si="3"/>
        <v>#REF!</v>
      </c>
      <c r="F6" s="53" t="e">
        <f t="shared" si="4"/>
        <v>#REF!</v>
      </c>
      <c r="G6" s="54" t="e">
        <f t="shared" si="5"/>
        <v>#REF!</v>
      </c>
      <c r="H6" s="54" t="e">
        <f t="shared" si="1"/>
        <v>#REF!</v>
      </c>
      <c r="I6" s="57"/>
      <c r="J6" s="142">
        <v>0.9</v>
      </c>
      <c r="K6" s="34"/>
      <c r="L6" s="33" t="s">
        <v>85</v>
      </c>
      <c r="M6" s="33" t="s">
        <v>85</v>
      </c>
      <c r="N6" s="33" t="s">
        <v>85</v>
      </c>
      <c r="O6" s="33" t="s">
        <v>85</v>
      </c>
      <c r="P6" s="33" t="s">
        <v>86</v>
      </c>
      <c r="Q6" s="17"/>
      <c r="R6" s="17"/>
      <c r="S6" s="17"/>
    </row>
    <row r="7" ht="18.6" customHeight="1" spans="1:19">
      <c r="A7" s="39"/>
      <c r="B7" s="47">
        <v>4</v>
      </c>
      <c r="C7" s="51">
        <f t="shared" si="2"/>
        <v>0.978</v>
      </c>
      <c r="D7" s="52" t="e">
        <f t="shared" si="0"/>
        <v>#REF!</v>
      </c>
      <c r="E7" s="53" t="e">
        <f t="shared" si="3"/>
        <v>#REF!</v>
      </c>
      <c r="F7" s="53" t="e">
        <f t="shared" si="4"/>
        <v>#REF!</v>
      </c>
      <c r="G7" s="54" t="e">
        <f t="shared" si="5"/>
        <v>#REF!</v>
      </c>
      <c r="H7" s="54" t="e">
        <f t="shared" si="1"/>
        <v>#REF!</v>
      </c>
      <c r="I7" s="57"/>
      <c r="J7" s="65" t="s">
        <v>87</v>
      </c>
      <c r="K7" s="34"/>
      <c r="L7" s="36">
        <v>0</v>
      </c>
      <c r="M7" s="36">
        <v>5</v>
      </c>
      <c r="N7" s="36">
        <v>4</v>
      </c>
      <c r="O7" s="36">
        <v>0</v>
      </c>
      <c r="P7" s="33">
        <v>9</v>
      </c>
      <c r="Q7" s="17"/>
      <c r="R7" s="17"/>
      <c r="S7" s="17"/>
    </row>
    <row r="8" ht="18.6" customHeight="1" spans="1:19">
      <c r="A8" s="39"/>
      <c r="B8" s="47">
        <v>5</v>
      </c>
      <c r="C8" s="51">
        <f t="shared" si="2"/>
        <v>0.974</v>
      </c>
      <c r="D8" s="52" t="e">
        <f t="shared" si="0"/>
        <v>#REF!</v>
      </c>
      <c r="E8" s="53" t="e">
        <f t="shared" si="3"/>
        <v>#REF!</v>
      </c>
      <c r="F8" s="53" t="e">
        <f t="shared" si="4"/>
        <v>#REF!</v>
      </c>
      <c r="G8" s="54" t="e">
        <f t="shared" si="5"/>
        <v>#REF!</v>
      </c>
      <c r="H8" s="54" t="e">
        <f t="shared" si="1"/>
        <v>#REF!</v>
      </c>
      <c r="I8" s="57"/>
      <c r="J8" s="66">
        <f>(L8*9+L17*3)/12</f>
        <v>0.999152777777778</v>
      </c>
      <c r="K8" s="34" t="s">
        <v>88</v>
      </c>
      <c r="L8" s="67">
        <f>(M5*M7+N5*N7)/P7</f>
        <v>0.974977777777778</v>
      </c>
      <c r="M8" s="68"/>
      <c r="N8" s="68"/>
      <c r="O8" s="68"/>
      <c r="P8" s="69"/>
      <c r="Q8" s="17"/>
      <c r="R8" s="17"/>
      <c r="S8" s="17"/>
    </row>
    <row r="9" ht="18.6" customHeight="1" spans="1:19">
      <c r="A9" s="39"/>
      <c r="B9" s="47">
        <v>6</v>
      </c>
      <c r="C9" s="51">
        <f t="shared" si="2"/>
        <v>0.97</v>
      </c>
      <c r="D9" s="52" t="e">
        <f t="shared" si="0"/>
        <v>#REF!</v>
      </c>
      <c r="E9" s="53" t="e">
        <f t="shared" si="3"/>
        <v>#REF!</v>
      </c>
      <c r="F9" s="53" t="e">
        <f t="shared" si="4"/>
        <v>#REF!</v>
      </c>
      <c r="G9" s="54" t="e">
        <f t="shared" si="5"/>
        <v>#REF!</v>
      </c>
      <c r="H9" s="54" t="e">
        <f t="shared" si="1"/>
        <v>#REF!</v>
      </c>
      <c r="I9" s="57"/>
      <c r="J9" s="70" t="s">
        <v>197</v>
      </c>
      <c r="K9" s="17"/>
      <c r="L9" s="17"/>
      <c r="M9" s="17"/>
      <c r="N9" s="17"/>
      <c r="O9" s="17"/>
      <c r="P9" s="17"/>
      <c r="Q9" s="17"/>
      <c r="R9" s="17"/>
      <c r="S9" s="17"/>
    </row>
    <row r="10" ht="18.6" customHeight="1" spans="1:19">
      <c r="A10" s="39"/>
      <c r="B10" s="47">
        <v>7</v>
      </c>
      <c r="C10" s="51">
        <f t="shared" si="2"/>
        <v>0.966</v>
      </c>
      <c r="D10" s="52" t="e">
        <f t="shared" si="0"/>
        <v>#REF!</v>
      </c>
      <c r="E10" s="53" t="e">
        <f t="shared" si="3"/>
        <v>#REF!</v>
      </c>
      <c r="F10" s="53" t="e">
        <f t="shared" si="4"/>
        <v>#REF!</v>
      </c>
      <c r="G10" s="54" t="e">
        <f t="shared" si="5"/>
        <v>#REF!</v>
      </c>
      <c r="H10" s="54" t="e">
        <f t="shared" si="1"/>
        <v>#REF!</v>
      </c>
      <c r="I10" s="57"/>
      <c r="J10" s="71" t="e">
        <f>J12+J14</f>
        <v>#REF!</v>
      </c>
      <c r="K10" s="72" t="s">
        <v>90</v>
      </c>
      <c r="L10" s="70"/>
      <c r="M10" s="70"/>
      <c r="N10" s="70"/>
      <c r="O10" s="70"/>
      <c r="P10" s="70"/>
      <c r="Q10" s="70"/>
      <c r="R10" s="70"/>
      <c r="S10" s="70"/>
    </row>
    <row r="11" ht="18.6" customHeight="1" spans="1:19">
      <c r="A11" s="39"/>
      <c r="B11" s="47">
        <v>8</v>
      </c>
      <c r="C11" s="51">
        <f t="shared" si="2"/>
        <v>0.962</v>
      </c>
      <c r="D11" s="52" t="e">
        <f t="shared" si="0"/>
        <v>#REF!</v>
      </c>
      <c r="E11" s="53" t="e">
        <f t="shared" si="3"/>
        <v>#REF!</v>
      </c>
      <c r="F11" s="53" t="e">
        <f t="shared" si="4"/>
        <v>#REF!</v>
      </c>
      <c r="G11" s="54" t="e">
        <f t="shared" si="5"/>
        <v>#REF!</v>
      </c>
      <c r="H11" s="54" t="e">
        <f t="shared" si="1"/>
        <v>#REF!</v>
      </c>
      <c r="I11" s="57"/>
      <c r="J11" s="70" t="s">
        <v>198</v>
      </c>
      <c r="K11" s="72" t="s">
        <v>61</v>
      </c>
      <c r="L11" s="70" t="s">
        <v>62</v>
      </c>
      <c r="M11" s="70" t="s">
        <v>63</v>
      </c>
      <c r="N11" s="70" t="s">
        <v>64</v>
      </c>
      <c r="O11" s="70" t="s">
        <v>65</v>
      </c>
      <c r="P11" s="70" t="s">
        <v>66</v>
      </c>
      <c r="Q11" s="70" t="s">
        <v>67</v>
      </c>
      <c r="R11" s="70" t="s">
        <v>68</v>
      </c>
      <c r="S11" s="70" t="s">
        <v>69</v>
      </c>
    </row>
    <row r="12" ht="18.6" customHeight="1" spans="1:19">
      <c r="A12" s="39"/>
      <c r="B12" s="47">
        <v>9</v>
      </c>
      <c r="C12" s="51">
        <f t="shared" si="2"/>
        <v>0.958</v>
      </c>
      <c r="D12" s="52" t="e">
        <f t="shared" si="0"/>
        <v>#REF!</v>
      </c>
      <c r="E12" s="53" t="e">
        <f t="shared" si="3"/>
        <v>#REF!</v>
      </c>
      <c r="F12" s="53" t="e">
        <f t="shared" si="4"/>
        <v>#REF!</v>
      </c>
      <c r="G12" s="54" t="e">
        <f t="shared" si="5"/>
        <v>#REF!</v>
      </c>
      <c r="H12" s="54" t="e">
        <f t="shared" si="1"/>
        <v>#REF!</v>
      </c>
      <c r="I12" s="57"/>
      <c r="J12" s="71" t="e">
        <f>M21+M22+M23+M24+M25+M26+M30+M31+M32</f>
        <v>#REF!</v>
      </c>
      <c r="K12" s="72"/>
      <c r="L12" s="73">
        <f t="shared" ref="L12:O12" si="6">L3</f>
        <v>1.4773</v>
      </c>
      <c r="M12" s="73">
        <f t="shared" si="6"/>
        <v>1.1872</v>
      </c>
      <c r="N12" s="73">
        <f t="shared" si="6"/>
        <v>0.7097</v>
      </c>
      <c r="O12" s="73" t="str">
        <f t="shared" si="6"/>
        <v>忽略</v>
      </c>
      <c r="P12" s="70">
        <v>0</v>
      </c>
      <c r="Q12" s="70">
        <v>0</v>
      </c>
      <c r="R12" s="70">
        <v>0</v>
      </c>
      <c r="S12" s="70">
        <v>0</v>
      </c>
    </row>
    <row r="13" ht="18.6" customHeight="1" spans="1:19">
      <c r="A13" s="39"/>
      <c r="B13" s="47">
        <v>10</v>
      </c>
      <c r="C13" s="51">
        <f t="shared" si="2"/>
        <v>0.954</v>
      </c>
      <c r="D13" s="52" t="e">
        <f t="shared" si="0"/>
        <v>#REF!</v>
      </c>
      <c r="E13" s="53" t="e">
        <f t="shared" si="3"/>
        <v>#REF!</v>
      </c>
      <c r="F13" s="53" t="e">
        <f t="shared" si="4"/>
        <v>#REF!</v>
      </c>
      <c r="G13" s="54" t="e">
        <f t="shared" si="5"/>
        <v>#REF!</v>
      </c>
      <c r="H13" s="54" t="e">
        <f t="shared" si="1"/>
        <v>#REF!</v>
      </c>
      <c r="I13" s="57"/>
      <c r="J13" s="70" t="s">
        <v>92</v>
      </c>
      <c r="K13" s="74" t="s">
        <v>83</v>
      </c>
      <c r="L13" s="63" t="s">
        <v>62</v>
      </c>
      <c r="M13" s="63" t="s">
        <v>63</v>
      </c>
      <c r="N13" s="63" t="s">
        <v>64</v>
      </c>
      <c r="O13" s="63" t="s">
        <v>65</v>
      </c>
      <c r="P13" s="75"/>
      <c r="Q13" s="39"/>
      <c r="R13" s="39"/>
      <c r="S13" s="39"/>
    </row>
    <row r="14" ht="18.6" customHeight="1" spans="1:19">
      <c r="A14" s="39"/>
      <c r="B14" s="47">
        <v>11</v>
      </c>
      <c r="C14" s="51">
        <f t="shared" si="2"/>
        <v>0.95</v>
      </c>
      <c r="D14" s="52" t="e">
        <f t="shared" si="0"/>
        <v>#REF!</v>
      </c>
      <c r="E14" s="53" t="e">
        <f t="shared" si="3"/>
        <v>#REF!</v>
      </c>
      <c r="F14" s="53" t="e">
        <f t="shared" si="4"/>
        <v>#REF!</v>
      </c>
      <c r="G14" s="54" t="e">
        <f t="shared" si="5"/>
        <v>#REF!</v>
      </c>
      <c r="H14" s="54" t="e">
        <f t="shared" si="1"/>
        <v>#REF!</v>
      </c>
      <c r="I14" s="57"/>
      <c r="J14" s="71" t="e">
        <f>M27+M28+M29</f>
        <v>#REF!</v>
      </c>
      <c r="K14" s="76"/>
      <c r="L14" s="64">
        <f>L12+P12+S12</f>
        <v>1.4773</v>
      </c>
      <c r="M14" s="64">
        <f>M12+Q12+S12</f>
        <v>1.1872</v>
      </c>
      <c r="N14" s="64">
        <f>N12+R12+S12</f>
        <v>0.7097</v>
      </c>
      <c r="O14" s="64" t="s">
        <v>82</v>
      </c>
      <c r="P14" s="77"/>
      <c r="Q14" s="39"/>
      <c r="R14" s="39"/>
      <c r="S14" s="39"/>
    </row>
    <row r="15" ht="18.6" customHeight="1" spans="1:19">
      <c r="A15" s="39"/>
      <c r="B15" s="47">
        <v>12</v>
      </c>
      <c r="C15" s="51">
        <f t="shared" si="2"/>
        <v>0.946</v>
      </c>
      <c r="D15" s="52" t="e">
        <f t="shared" si="0"/>
        <v>#REF!</v>
      </c>
      <c r="E15" s="53" t="e">
        <f t="shared" si="3"/>
        <v>#REF!</v>
      </c>
      <c r="F15" s="53" t="e">
        <f t="shared" si="4"/>
        <v>#REF!</v>
      </c>
      <c r="G15" s="54" t="e">
        <f t="shared" si="5"/>
        <v>#REF!</v>
      </c>
      <c r="H15" s="54" t="e">
        <f t="shared" si="1"/>
        <v>#REF!</v>
      </c>
      <c r="I15" s="57"/>
      <c r="J15" s="39"/>
      <c r="K15" s="33"/>
      <c r="L15" s="33" t="s">
        <v>85</v>
      </c>
      <c r="M15" s="33" t="s">
        <v>85</v>
      </c>
      <c r="N15" s="33" t="s">
        <v>85</v>
      </c>
      <c r="O15" s="33" t="s">
        <v>85</v>
      </c>
      <c r="P15" s="33" t="s">
        <v>86</v>
      </c>
      <c r="Q15" s="39"/>
      <c r="R15" s="39"/>
      <c r="S15" s="39"/>
    </row>
    <row r="16" ht="18.6" customHeight="1" spans="1:19">
      <c r="A16" s="39"/>
      <c r="B16" s="47">
        <v>13</v>
      </c>
      <c r="C16" s="51">
        <f t="shared" si="2"/>
        <v>0.942</v>
      </c>
      <c r="D16" s="52" t="e">
        <f t="shared" si="0"/>
        <v>#REF!</v>
      </c>
      <c r="E16" s="53" t="e">
        <f t="shared" si="3"/>
        <v>#REF!</v>
      </c>
      <c r="F16" s="53" t="e">
        <f t="shared" si="4"/>
        <v>#REF!</v>
      </c>
      <c r="G16" s="54" t="e">
        <f t="shared" si="5"/>
        <v>#REF!</v>
      </c>
      <c r="H16" s="54" t="e">
        <f t="shared" si="1"/>
        <v>#REF!</v>
      </c>
      <c r="I16" s="57"/>
      <c r="J16" s="39"/>
      <c r="K16" s="33"/>
      <c r="L16" s="36">
        <v>3</v>
      </c>
      <c r="M16" s="36">
        <v>2</v>
      </c>
      <c r="N16" s="36">
        <v>4</v>
      </c>
      <c r="O16" s="36">
        <v>0</v>
      </c>
      <c r="P16" s="33">
        <v>9</v>
      </c>
      <c r="Q16" s="39"/>
      <c r="R16" s="39"/>
      <c r="S16" s="39"/>
    </row>
    <row r="17" ht="18.6" customHeight="1" spans="1:19">
      <c r="A17" s="39"/>
      <c r="B17" s="47">
        <v>14</v>
      </c>
      <c r="C17" s="51">
        <f t="shared" si="2"/>
        <v>0.938</v>
      </c>
      <c r="D17" s="52" t="e">
        <f t="shared" si="0"/>
        <v>#REF!</v>
      </c>
      <c r="E17" s="53" t="e">
        <f t="shared" si="3"/>
        <v>#REF!</v>
      </c>
      <c r="F17" s="53" t="e">
        <f t="shared" si="4"/>
        <v>#REF!</v>
      </c>
      <c r="G17" s="54" t="e">
        <f t="shared" si="5"/>
        <v>#REF!</v>
      </c>
      <c r="H17" s="54" t="e">
        <f t="shared" si="1"/>
        <v>#REF!</v>
      </c>
      <c r="I17" s="78"/>
      <c r="J17" s="39"/>
      <c r="K17" s="33" t="s">
        <v>88</v>
      </c>
      <c r="L17" s="67">
        <f>(L14*L16+M14*M16+N14*N16)/P16</f>
        <v>1.07167777777778</v>
      </c>
      <c r="M17" s="68"/>
      <c r="N17" s="68"/>
      <c r="O17" s="68"/>
      <c r="P17" s="69"/>
      <c r="Q17" s="39"/>
      <c r="R17" s="39"/>
      <c r="S17" s="39"/>
    </row>
    <row r="18" ht="18.6" customHeight="1" spans="1:19">
      <c r="A18" s="39"/>
      <c r="B18" s="47">
        <v>15</v>
      </c>
      <c r="C18" s="51">
        <f t="shared" si="2"/>
        <v>0.934</v>
      </c>
      <c r="D18" s="52" t="e">
        <f t="shared" si="0"/>
        <v>#REF!</v>
      </c>
      <c r="E18" s="53" t="e">
        <f t="shared" si="3"/>
        <v>#REF!</v>
      </c>
      <c r="F18" s="53" t="e">
        <f t="shared" si="4"/>
        <v>#REF!</v>
      </c>
      <c r="G18" s="54" t="e">
        <f t="shared" si="5"/>
        <v>#REF!</v>
      </c>
      <c r="H18" s="54" t="e">
        <f t="shared" si="1"/>
        <v>#REF!</v>
      </c>
      <c r="I18" s="78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ht="18.6" customHeight="1" spans="1:19">
      <c r="A19" s="39"/>
      <c r="B19" s="47">
        <v>16</v>
      </c>
      <c r="C19" s="51">
        <f t="shared" si="2"/>
        <v>0.93</v>
      </c>
      <c r="D19" s="52" t="e">
        <f t="shared" si="0"/>
        <v>#REF!</v>
      </c>
      <c r="E19" s="53" t="e">
        <f t="shared" si="3"/>
        <v>#REF!</v>
      </c>
      <c r="F19" s="53" t="e">
        <f t="shared" si="4"/>
        <v>#REF!</v>
      </c>
      <c r="G19" s="54" t="e">
        <f t="shared" si="5"/>
        <v>#REF!</v>
      </c>
      <c r="H19" s="54" t="e">
        <f t="shared" si="1"/>
        <v>#REF!</v>
      </c>
      <c r="I19" s="78"/>
      <c r="J19" s="39"/>
      <c r="K19" s="79" t="s">
        <v>199</v>
      </c>
      <c r="L19" s="80"/>
      <c r="M19" s="80"/>
      <c r="N19" s="34"/>
      <c r="O19" s="39"/>
      <c r="P19" s="39"/>
      <c r="Q19" s="39"/>
      <c r="R19" s="39"/>
      <c r="S19" s="39"/>
    </row>
    <row r="20" ht="18.6" customHeight="1" spans="1:19">
      <c r="A20" s="39"/>
      <c r="B20" s="47">
        <v>17</v>
      </c>
      <c r="C20" s="51">
        <f t="shared" si="2"/>
        <v>0.926</v>
      </c>
      <c r="D20" s="52" t="e">
        <f t="shared" si="0"/>
        <v>#REF!</v>
      </c>
      <c r="E20" s="53" t="e">
        <f t="shared" si="3"/>
        <v>#REF!</v>
      </c>
      <c r="F20" s="53" t="e">
        <f t="shared" si="4"/>
        <v>#REF!</v>
      </c>
      <c r="G20" s="54" t="e">
        <f t="shared" si="5"/>
        <v>#REF!</v>
      </c>
      <c r="H20" s="54" t="e">
        <f t="shared" si="1"/>
        <v>#REF!</v>
      </c>
      <c r="I20" s="78"/>
      <c r="J20" s="39"/>
      <c r="K20" s="79" t="s">
        <v>14</v>
      </c>
      <c r="L20" s="34"/>
      <c r="M20" s="79" t="s">
        <v>95</v>
      </c>
      <c r="N20" s="34"/>
      <c r="O20" s="39"/>
      <c r="P20" s="39"/>
      <c r="Q20" s="39"/>
      <c r="R20" s="39"/>
      <c r="S20" s="39"/>
    </row>
    <row r="21" ht="18.6" customHeight="1" spans="1:19">
      <c r="A21" s="39"/>
      <c r="B21" s="47">
        <v>18</v>
      </c>
      <c r="C21" s="51">
        <f t="shared" si="2"/>
        <v>0.922</v>
      </c>
      <c r="D21" s="52" t="e">
        <f t="shared" si="0"/>
        <v>#REF!</v>
      </c>
      <c r="E21" s="53" t="e">
        <f t="shared" si="3"/>
        <v>#REF!</v>
      </c>
      <c r="F21" s="53" t="e">
        <f t="shared" si="4"/>
        <v>#REF!</v>
      </c>
      <c r="G21" s="54" t="e">
        <f t="shared" si="5"/>
        <v>#REF!</v>
      </c>
      <c r="H21" s="54" t="e">
        <f t="shared" si="1"/>
        <v>#REF!</v>
      </c>
      <c r="I21" s="78"/>
      <c r="J21" s="39"/>
      <c r="K21" s="33" t="s">
        <v>21</v>
      </c>
      <c r="L21" s="33"/>
      <c r="M21" s="81" t="e">
        <f>基础数据!#REF!</f>
        <v>#REF!</v>
      </c>
      <c r="N21" s="81"/>
      <c r="O21" s="39"/>
      <c r="P21" s="39"/>
      <c r="Q21" s="39"/>
      <c r="R21" s="39"/>
      <c r="S21" s="39"/>
    </row>
    <row r="22" ht="18.6" customHeight="1" spans="1:19">
      <c r="A22" s="39"/>
      <c r="B22" s="47">
        <v>19</v>
      </c>
      <c r="C22" s="51">
        <f t="shared" si="2"/>
        <v>0.918</v>
      </c>
      <c r="D22" s="52" t="e">
        <f t="shared" si="0"/>
        <v>#REF!</v>
      </c>
      <c r="E22" s="53" t="e">
        <f t="shared" si="3"/>
        <v>#REF!</v>
      </c>
      <c r="F22" s="53" t="e">
        <f t="shared" si="4"/>
        <v>#REF!</v>
      </c>
      <c r="G22" s="54" t="e">
        <f t="shared" si="5"/>
        <v>#REF!</v>
      </c>
      <c r="H22" s="54" t="e">
        <f t="shared" si="1"/>
        <v>#REF!</v>
      </c>
      <c r="I22" s="78"/>
      <c r="J22" s="39"/>
      <c r="K22" s="33" t="s">
        <v>22</v>
      </c>
      <c r="L22" s="33"/>
      <c r="M22" s="81" t="e">
        <f>基础数据!#REF!</f>
        <v>#REF!</v>
      </c>
      <c r="N22" s="81"/>
      <c r="O22" s="39"/>
      <c r="P22" s="39"/>
      <c r="Q22" s="39"/>
      <c r="R22" s="39"/>
      <c r="S22" s="39"/>
    </row>
    <row r="23" ht="18.6" customHeight="1" spans="1:19">
      <c r="A23" s="39"/>
      <c r="B23" s="47">
        <v>20</v>
      </c>
      <c r="C23" s="51">
        <f t="shared" si="2"/>
        <v>0.914</v>
      </c>
      <c r="D23" s="52" t="e">
        <f t="shared" si="0"/>
        <v>#REF!</v>
      </c>
      <c r="E23" s="53" t="e">
        <f t="shared" si="3"/>
        <v>#REF!</v>
      </c>
      <c r="F23" s="53" t="e">
        <f t="shared" si="4"/>
        <v>#REF!</v>
      </c>
      <c r="G23" s="54" t="e">
        <f t="shared" si="5"/>
        <v>#REF!</v>
      </c>
      <c r="H23" s="54" t="e">
        <f t="shared" si="1"/>
        <v>#REF!</v>
      </c>
      <c r="I23" s="78"/>
      <c r="J23" s="39"/>
      <c r="K23" s="33" t="s">
        <v>23</v>
      </c>
      <c r="L23" s="33"/>
      <c r="M23" s="81" t="e">
        <f>基础数据!#REF!</f>
        <v>#REF!</v>
      </c>
      <c r="N23" s="81"/>
      <c r="O23" s="39"/>
      <c r="P23" s="39"/>
      <c r="Q23" s="39"/>
      <c r="R23" s="39"/>
      <c r="S23" s="39"/>
    </row>
    <row r="24" ht="18.6" customHeight="1" spans="1:19">
      <c r="A24" s="39"/>
      <c r="B24" s="47">
        <v>21</v>
      </c>
      <c r="C24" s="51">
        <f t="shared" si="2"/>
        <v>0.91</v>
      </c>
      <c r="D24" s="52" t="e">
        <f t="shared" si="0"/>
        <v>#REF!</v>
      </c>
      <c r="E24" s="53" t="e">
        <f t="shared" si="3"/>
        <v>#REF!</v>
      </c>
      <c r="F24" s="53" t="e">
        <f t="shared" si="4"/>
        <v>#REF!</v>
      </c>
      <c r="G24" s="54" t="e">
        <f t="shared" si="5"/>
        <v>#REF!</v>
      </c>
      <c r="H24" s="54" t="e">
        <f t="shared" si="1"/>
        <v>#REF!</v>
      </c>
      <c r="I24" s="78"/>
      <c r="J24" s="39"/>
      <c r="K24" s="33" t="s">
        <v>24</v>
      </c>
      <c r="L24" s="33"/>
      <c r="M24" s="81" t="e">
        <f>基础数据!#REF!</f>
        <v>#REF!</v>
      </c>
      <c r="N24" s="81"/>
      <c r="O24" s="39"/>
      <c r="P24" s="39"/>
      <c r="Q24" s="39"/>
      <c r="R24" s="39"/>
      <c r="S24" s="39"/>
    </row>
    <row r="25" ht="18.6" customHeight="1" spans="1:19">
      <c r="A25" s="39"/>
      <c r="B25" s="47">
        <v>22</v>
      </c>
      <c r="C25" s="51">
        <f t="shared" si="2"/>
        <v>0.906</v>
      </c>
      <c r="D25" s="52" t="e">
        <f t="shared" si="0"/>
        <v>#REF!</v>
      </c>
      <c r="E25" s="53" t="e">
        <f t="shared" si="3"/>
        <v>#REF!</v>
      </c>
      <c r="F25" s="53" t="e">
        <f t="shared" si="4"/>
        <v>#REF!</v>
      </c>
      <c r="G25" s="54" t="e">
        <f t="shared" si="5"/>
        <v>#REF!</v>
      </c>
      <c r="H25" s="54" t="e">
        <f t="shared" si="1"/>
        <v>#REF!</v>
      </c>
      <c r="I25" s="57"/>
      <c r="J25" s="39"/>
      <c r="K25" s="33" t="s">
        <v>25</v>
      </c>
      <c r="L25" s="33"/>
      <c r="M25" s="81" t="e">
        <f>基础数据!#REF!</f>
        <v>#REF!</v>
      </c>
      <c r="N25" s="81"/>
      <c r="O25" s="39"/>
      <c r="P25" s="39"/>
      <c r="Q25" s="39"/>
      <c r="R25" s="39"/>
      <c r="S25" s="39"/>
    </row>
    <row r="26" ht="18.6" customHeight="1" spans="1:19">
      <c r="A26" s="39"/>
      <c r="B26" s="47">
        <v>23</v>
      </c>
      <c r="C26" s="51">
        <f t="shared" si="2"/>
        <v>0.902</v>
      </c>
      <c r="D26" s="52" t="e">
        <f t="shared" si="0"/>
        <v>#REF!</v>
      </c>
      <c r="E26" s="53" t="e">
        <f t="shared" si="3"/>
        <v>#REF!</v>
      </c>
      <c r="F26" s="53" t="e">
        <f t="shared" si="4"/>
        <v>#REF!</v>
      </c>
      <c r="G26" s="54" t="e">
        <f t="shared" si="5"/>
        <v>#REF!</v>
      </c>
      <c r="H26" s="54" t="e">
        <f t="shared" si="1"/>
        <v>#REF!</v>
      </c>
      <c r="I26" s="57"/>
      <c r="J26" s="39"/>
      <c r="K26" s="33" t="s">
        <v>26</v>
      </c>
      <c r="L26" s="33"/>
      <c r="M26" s="81" t="e">
        <f>基础数据!#REF!</f>
        <v>#REF!</v>
      </c>
      <c r="N26" s="81"/>
      <c r="O26" s="39"/>
      <c r="P26" s="39"/>
      <c r="Q26" s="39"/>
      <c r="R26" s="39"/>
      <c r="S26" s="39"/>
    </row>
    <row r="27" ht="18.6" customHeight="1" spans="1:19">
      <c r="A27" s="39"/>
      <c r="B27" s="47">
        <v>24</v>
      </c>
      <c r="C27" s="51">
        <f t="shared" si="2"/>
        <v>0.898</v>
      </c>
      <c r="D27" s="52" t="e">
        <f t="shared" si="0"/>
        <v>#REF!</v>
      </c>
      <c r="E27" s="53" t="e">
        <f t="shared" si="3"/>
        <v>#REF!</v>
      </c>
      <c r="F27" s="53" t="e">
        <f t="shared" si="4"/>
        <v>#REF!</v>
      </c>
      <c r="G27" s="54" t="e">
        <f t="shared" si="5"/>
        <v>#REF!</v>
      </c>
      <c r="H27" s="54" t="e">
        <f t="shared" si="1"/>
        <v>#REF!</v>
      </c>
      <c r="I27" s="57"/>
      <c r="J27" s="39"/>
      <c r="K27" s="33" t="s">
        <v>27</v>
      </c>
      <c r="L27" s="33"/>
      <c r="M27" s="81" t="e">
        <f>基础数据!#REF!</f>
        <v>#REF!</v>
      </c>
      <c r="N27" s="81"/>
      <c r="O27" s="39"/>
      <c r="P27" s="39"/>
      <c r="Q27" s="39"/>
      <c r="R27" s="39"/>
      <c r="S27" s="39"/>
    </row>
    <row r="28" ht="18.6" customHeight="1" spans="1:19">
      <c r="A28" s="39"/>
      <c r="B28" s="47">
        <v>25</v>
      </c>
      <c r="C28" s="51">
        <f t="shared" si="2"/>
        <v>0.894</v>
      </c>
      <c r="D28" s="52" t="e">
        <f t="shared" si="0"/>
        <v>#REF!</v>
      </c>
      <c r="E28" s="53" t="e">
        <f t="shared" si="3"/>
        <v>#REF!</v>
      </c>
      <c r="F28" s="53" t="e">
        <f t="shared" si="4"/>
        <v>#REF!</v>
      </c>
      <c r="G28" s="54" t="e">
        <f t="shared" si="5"/>
        <v>#REF!</v>
      </c>
      <c r="H28" s="54" t="e">
        <f t="shared" si="1"/>
        <v>#REF!</v>
      </c>
      <c r="I28" s="57"/>
      <c r="J28" s="39"/>
      <c r="K28" s="33" t="s">
        <v>28</v>
      </c>
      <c r="L28" s="33"/>
      <c r="M28" s="81" t="e">
        <f>基础数据!#REF!</f>
        <v>#REF!</v>
      </c>
      <c r="N28" s="81"/>
      <c r="O28" s="39"/>
      <c r="P28" s="39"/>
      <c r="Q28" s="39"/>
      <c r="R28" s="39"/>
      <c r="S28" s="39"/>
    </row>
    <row r="29" ht="18.6" customHeight="1" spans="1:19">
      <c r="A29" s="39"/>
      <c r="B29" s="47">
        <v>26</v>
      </c>
      <c r="C29" s="51">
        <f t="shared" si="2"/>
        <v>0.89</v>
      </c>
      <c r="D29" s="52" t="e">
        <f t="shared" si="0"/>
        <v>#REF!</v>
      </c>
      <c r="E29" s="53" t="e">
        <f t="shared" si="3"/>
        <v>#REF!</v>
      </c>
      <c r="F29" s="53" t="e">
        <f t="shared" si="4"/>
        <v>#REF!</v>
      </c>
      <c r="G29" s="54" t="e">
        <f t="shared" si="5"/>
        <v>#REF!</v>
      </c>
      <c r="H29" s="54" t="e">
        <f t="shared" si="1"/>
        <v>#REF!</v>
      </c>
      <c r="J29" s="39"/>
      <c r="K29" s="33" t="s">
        <v>29</v>
      </c>
      <c r="L29" s="33"/>
      <c r="M29" s="81" t="e">
        <f>基础数据!#REF!</f>
        <v>#REF!</v>
      </c>
      <c r="N29" s="81"/>
      <c r="O29" s="39"/>
      <c r="P29" s="39"/>
      <c r="Q29" s="39"/>
      <c r="R29" s="39"/>
      <c r="S29" s="39"/>
    </row>
    <row r="30" ht="18.6" customHeight="1" spans="1:19">
      <c r="A30" s="39"/>
      <c r="B30" s="47">
        <v>27</v>
      </c>
      <c r="C30" s="51">
        <f t="shared" si="2"/>
        <v>0.886</v>
      </c>
      <c r="D30" s="52" t="e">
        <f t="shared" si="0"/>
        <v>#REF!</v>
      </c>
      <c r="E30" s="53" t="e">
        <f t="shared" si="3"/>
        <v>#REF!</v>
      </c>
      <c r="F30" s="53" t="e">
        <f t="shared" si="4"/>
        <v>#REF!</v>
      </c>
      <c r="G30" s="54" t="e">
        <f t="shared" si="5"/>
        <v>#REF!</v>
      </c>
      <c r="H30" s="54" t="e">
        <f t="shared" si="1"/>
        <v>#REF!</v>
      </c>
      <c r="J30" s="39"/>
      <c r="K30" s="33" t="s">
        <v>30</v>
      </c>
      <c r="L30" s="33"/>
      <c r="M30" s="81" t="e">
        <f>基础数据!#REF!</f>
        <v>#REF!</v>
      </c>
      <c r="N30" s="81"/>
      <c r="O30" s="39"/>
      <c r="P30" s="39"/>
      <c r="Q30" s="39"/>
      <c r="R30" s="39"/>
      <c r="S30" s="39"/>
    </row>
    <row r="31" ht="18.6" customHeight="1" spans="1:19">
      <c r="A31" s="39"/>
      <c r="B31" s="47">
        <v>28</v>
      </c>
      <c r="C31" s="51">
        <f t="shared" si="2"/>
        <v>0.882</v>
      </c>
      <c r="D31" s="52" t="e">
        <f t="shared" si="0"/>
        <v>#REF!</v>
      </c>
      <c r="E31" s="53" t="e">
        <f t="shared" si="3"/>
        <v>#REF!</v>
      </c>
      <c r="F31" s="53" t="e">
        <f t="shared" si="4"/>
        <v>#REF!</v>
      </c>
      <c r="G31" s="54" t="e">
        <f t="shared" si="5"/>
        <v>#REF!</v>
      </c>
      <c r="H31" s="54" t="e">
        <f t="shared" si="1"/>
        <v>#REF!</v>
      </c>
      <c r="J31" s="39"/>
      <c r="K31" s="33" t="s">
        <v>31</v>
      </c>
      <c r="L31" s="33"/>
      <c r="M31" s="81" t="e">
        <f>基础数据!#REF!</f>
        <v>#REF!</v>
      </c>
      <c r="N31" s="81"/>
      <c r="O31" s="39"/>
      <c r="P31" s="39"/>
      <c r="Q31" s="39"/>
      <c r="R31" s="39"/>
      <c r="S31" s="39"/>
    </row>
    <row r="32" ht="18.6" customHeight="1" spans="1:19">
      <c r="A32" s="39"/>
      <c r="B32" s="47">
        <v>29</v>
      </c>
      <c r="C32" s="51">
        <f t="shared" si="2"/>
        <v>0.878</v>
      </c>
      <c r="D32" s="52" t="e">
        <f t="shared" si="0"/>
        <v>#REF!</v>
      </c>
      <c r="E32" s="53" t="e">
        <f t="shared" si="3"/>
        <v>#REF!</v>
      </c>
      <c r="F32" s="53" t="e">
        <f t="shared" si="4"/>
        <v>#REF!</v>
      </c>
      <c r="G32" s="54" t="e">
        <f t="shared" si="5"/>
        <v>#REF!</v>
      </c>
      <c r="H32" s="54" t="e">
        <f t="shared" si="1"/>
        <v>#REF!</v>
      </c>
      <c r="J32" s="39"/>
      <c r="K32" s="33" t="s">
        <v>32</v>
      </c>
      <c r="L32" s="33"/>
      <c r="M32" s="81" t="e">
        <f>基础数据!#REF!</f>
        <v>#REF!</v>
      </c>
      <c r="N32" s="81"/>
      <c r="O32" s="39"/>
      <c r="P32" s="39"/>
      <c r="Q32" s="39"/>
      <c r="R32" s="39"/>
      <c r="S32" s="39"/>
    </row>
    <row r="33" ht="18.6" customHeight="1" spans="1:19">
      <c r="A33" s="39"/>
      <c r="B33" s="47">
        <v>30</v>
      </c>
      <c r="C33" s="51">
        <f t="shared" si="2"/>
        <v>0.874</v>
      </c>
      <c r="D33" s="52" t="e">
        <f t="shared" si="0"/>
        <v>#REF!</v>
      </c>
      <c r="E33" s="53" t="e">
        <f t="shared" si="3"/>
        <v>#REF!</v>
      </c>
      <c r="F33" s="53" t="e">
        <f t="shared" si="4"/>
        <v>#REF!</v>
      </c>
      <c r="G33" s="54" t="e">
        <f t="shared" si="5"/>
        <v>#REF!</v>
      </c>
      <c r="H33" s="54" t="e">
        <f t="shared" si="1"/>
        <v>#REF!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ht="18.6" customHeight="1" spans="1:8">
      <c r="A34" s="39"/>
      <c r="B34" s="55" t="s">
        <v>34</v>
      </c>
      <c r="C34" s="55"/>
      <c r="D34" s="56" t="e">
        <f t="shared" ref="D34:G34" si="7">SUM(D4:D33)</f>
        <v>#REF!</v>
      </c>
      <c r="E34" s="56" t="e">
        <f t="shared" si="7"/>
        <v>#REF!</v>
      </c>
      <c r="F34" s="56" t="e">
        <f t="shared" si="7"/>
        <v>#REF!</v>
      </c>
      <c r="G34" s="56" t="e">
        <f t="shared" si="7"/>
        <v>#REF!</v>
      </c>
      <c r="H34" s="46"/>
    </row>
    <row r="35" ht="18.6" customHeight="1" spans="1:8">
      <c r="A35" s="39" t="s">
        <v>99</v>
      </c>
      <c r="B35" s="46"/>
      <c r="C35" s="46"/>
      <c r="D35" s="46"/>
      <c r="E35" s="46"/>
      <c r="F35" s="46"/>
      <c r="G35" s="46"/>
      <c r="H35" s="46"/>
    </row>
    <row r="36" ht="22.5" customHeight="1" spans="4:4">
      <c r="D36" s="57"/>
    </row>
    <row r="37" ht="22.5" customHeight="1"/>
  </sheetData>
  <mergeCells count="38">
    <mergeCell ref="K1:S1"/>
    <mergeCell ref="B2:D2"/>
    <mergeCell ref="L8:P8"/>
    <mergeCell ref="K10:S10"/>
    <mergeCell ref="L17:P17"/>
    <mergeCell ref="K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B34:C34"/>
    <mergeCell ref="K2:K3"/>
    <mergeCell ref="K4:K5"/>
    <mergeCell ref="K11:K12"/>
    <mergeCell ref="K13:K14"/>
    <mergeCell ref="P4:P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5" zoomScaleNormal="85" workbookViewId="0">
      <selection activeCell="E4" sqref="E4"/>
    </sheetView>
  </sheetViews>
  <sheetFormatPr defaultColWidth="9" defaultRowHeight="14.25"/>
  <cols>
    <col min="2" max="2" width="6.375" customWidth="1"/>
    <col min="3" max="3" width="15.5" customWidth="1"/>
    <col min="4" max="4" width="13" style="41" customWidth="1"/>
    <col min="5" max="5" width="12.125" style="41" customWidth="1"/>
    <col min="6" max="6" width="11.375" style="41" customWidth="1"/>
    <col min="7" max="7" width="14.625" customWidth="1"/>
    <col min="8" max="8" width="19" customWidth="1"/>
    <col min="9" max="9" width="20.625" customWidth="1"/>
    <col min="10" max="10" width="31.875" customWidth="1"/>
    <col min="11" max="11" width="16.125" customWidth="1"/>
    <col min="12" max="15" width="9.5" customWidth="1"/>
    <col min="16" max="19" width="16" customWidth="1"/>
  </cols>
  <sheetData>
    <row r="1" ht="17.25" spans="10:19">
      <c r="J1" s="17"/>
      <c r="K1" s="33" t="s">
        <v>55</v>
      </c>
      <c r="L1" s="33"/>
      <c r="M1" s="33"/>
      <c r="N1" s="33"/>
      <c r="O1" s="33"/>
      <c r="P1" s="33"/>
      <c r="Q1" s="33"/>
      <c r="R1" s="33"/>
      <c r="S1" s="33"/>
    </row>
    <row r="2" ht="18.6" customHeight="1" spans="1:19">
      <c r="A2" s="39"/>
      <c r="B2" s="42" t="s">
        <v>200</v>
      </c>
      <c r="C2" s="43"/>
      <c r="D2" s="43"/>
      <c r="E2" s="44" t="s">
        <v>193</v>
      </c>
      <c r="F2" s="44" t="s">
        <v>58</v>
      </c>
      <c r="G2" s="45"/>
      <c r="H2" s="46"/>
      <c r="J2" s="17"/>
      <c r="K2" s="33" t="s">
        <v>61</v>
      </c>
      <c r="L2" s="33" t="s">
        <v>62</v>
      </c>
      <c r="M2" s="33" t="s">
        <v>63</v>
      </c>
      <c r="N2" s="33" t="s">
        <v>64</v>
      </c>
      <c r="O2" s="33" t="s">
        <v>65</v>
      </c>
      <c r="P2" s="33" t="s">
        <v>66</v>
      </c>
      <c r="Q2" s="33" t="s">
        <v>67</v>
      </c>
      <c r="R2" s="33" t="s">
        <v>68</v>
      </c>
      <c r="S2" s="33" t="s">
        <v>69</v>
      </c>
    </row>
    <row r="3" ht="18.6" customHeight="1" spans="1:19">
      <c r="A3" s="39"/>
      <c r="B3" s="47" t="s">
        <v>70</v>
      </c>
      <c r="C3" s="47" t="s">
        <v>71</v>
      </c>
      <c r="D3" s="47" t="s">
        <v>50</v>
      </c>
      <c r="E3" s="48">
        <v>0</v>
      </c>
      <c r="F3" s="49">
        <f>1-E3</f>
        <v>1</v>
      </c>
      <c r="G3" s="50" t="s">
        <v>194</v>
      </c>
      <c r="H3" s="50" t="s">
        <v>195</v>
      </c>
      <c r="I3" s="41"/>
      <c r="J3" s="58" t="s">
        <v>81</v>
      </c>
      <c r="K3" s="33"/>
      <c r="L3" s="36">
        <f>光伏发电衰减表min!L3</f>
        <v>1.4773</v>
      </c>
      <c r="M3" s="36">
        <f>光伏发电衰减表min!M3</f>
        <v>1.1872</v>
      </c>
      <c r="N3" s="36">
        <f>光伏发电衰减表min!N3</f>
        <v>0.7097</v>
      </c>
      <c r="O3" s="36" t="s">
        <v>82</v>
      </c>
      <c r="P3" s="33">
        <f>光伏发电衰减表min!P3</f>
        <v>0</v>
      </c>
      <c r="Q3" s="33">
        <f>光伏发电衰减表min!Q3</f>
        <v>0</v>
      </c>
      <c r="R3" s="33">
        <f>光伏发电衰减表min!R3</f>
        <v>0</v>
      </c>
      <c r="S3" s="33">
        <f>光伏发电衰减表min!S3</f>
        <v>0</v>
      </c>
    </row>
    <row r="4" ht="18.6" customHeight="1" spans="1:19">
      <c r="A4" s="39"/>
      <c r="B4" s="47">
        <v>1</v>
      </c>
      <c r="C4" s="51">
        <v>0.99</v>
      </c>
      <c r="D4" s="52">
        <f t="shared" ref="D4:D33" si="0">$J$10*C4</f>
        <v>0</v>
      </c>
      <c r="E4" s="53">
        <f>D4*E3</f>
        <v>0</v>
      </c>
      <c r="F4" s="53">
        <f>D4*F3</f>
        <v>0</v>
      </c>
      <c r="G4" s="54">
        <f>$J$12*C4*$E$3*$L$8*(1-$J$6)+$J$14*C4*$E$3*$L$17*(1-$J$6)</f>
        <v>0</v>
      </c>
      <c r="H4" s="54">
        <f t="shared" ref="H4:H33" si="1">D4/12</f>
        <v>0</v>
      </c>
      <c r="I4" s="57"/>
      <c r="J4" s="140">
        <v>0.453</v>
      </c>
      <c r="K4" s="141" t="s">
        <v>83</v>
      </c>
      <c r="L4" s="33" t="s">
        <v>62</v>
      </c>
      <c r="M4" s="33" t="s">
        <v>63</v>
      </c>
      <c r="N4" s="33" t="s">
        <v>64</v>
      </c>
      <c r="O4" s="33" t="s">
        <v>65</v>
      </c>
      <c r="P4" s="62"/>
      <c r="Q4" s="17"/>
      <c r="R4" s="17"/>
      <c r="S4" s="17"/>
    </row>
    <row r="5" ht="18.6" customHeight="1" spans="1:19">
      <c r="A5" s="39"/>
      <c r="B5" s="47">
        <v>2</v>
      </c>
      <c r="C5" s="51">
        <f t="shared" ref="C5:C33" si="2">C4-0.004</f>
        <v>0.986</v>
      </c>
      <c r="D5" s="52">
        <f t="shared" si="0"/>
        <v>0</v>
      </c>
      <c r="E5" s="53">
        <f t="shared" ref="E5:E33" si="3">D5*$E$3</f>
        <v>0</v>
      </c>
      <c r="F5" s="53">
        <f t="shared" ref="F5:F33" si="4">D5*$F$3</f>
        <v>0</v>
      </c>
      <c r="G5" s="54">
        <f t="shared" ref="G5:G33" si="5">$J$12*C5*$E$3*$L$8*(1-$J$6)+$J$14*C5*$E$3*$L$17*(1-$J$6)</f>
        <v>0</v>
      </c>
      <c r="H5" s="54">
        <f t="shared" si="1"/>
        <v>0</v>
      </c>
      <c r="I5" s="57"/>
      <c r="J5" s="70" t="s">
        <v>201</v>
      </c>
      <c r="K5" s="76"/>
      <c r="L5" s="64">
        <f>L3+P3+S3</f>
        <v>1.4773</v>
      </c>
      <c r="M5" s="64">
        <f>M3+Q3+S3</f>
        <v>1.1872</v>
      </c>
      <c r="N5" s="64">
        <f>N3+R3+S3</f>
        <v>0.7097</v>
      </c>
      <c r="O5" s="64" t="s">
        <v>82</v>
      </c>
      <c r="P5" s="63"/>
      <c r="Q5" s="17"/>
      <c r="R5" s="17"/>
      <c r="S5" s="17"/>
    </row>
    <row r="6" ht="18.6" customHeight="1" spans="1:19">
      <c r="A6" s="39"/>
      <c r="B6" s="47">
        <v>3</v>
      </c>
      <c r="C6" s="51">
        <f t="shared" si="2"/>
        <v>0.982</v>
      </c>
      <c r="D6" s="52">
        <f t="shared" si="0"/>
        <v>0</v>
      </c>
      <c r="E6" s="53">
        <f t="shared" si="3"/>
        <v>0</v>
      </c>
      <c r="F6" s="53">
        <f t="shared" si="4"/>
        <v>0</v>
      </c>
      <c r="G6" s="54">
        <f t="shared" si="5"/>
        <v>0</v>
      </c>
      <c r="H6" s="54">
        <f t="shared" si="1"/>
        <v>0</v>
      </c>
      <c r="I6" s="57"/>
      <c r="J6" s="142">
        <v>0.85</v>
      </c>
      <c r="K6" s="34"/>
      <c r="L6" s="33" t="s">
        <v>85</v>
      </c>
      <c r="M6" s="33" t="s">
        <v>85</v>
      </c>
      <c r="N6" s="33" t="s">
        <v>85</v>
      </c>
      <c r="O6" s="33" t="s">
        <v>85</v>
      </c>
      <c r="P6" s="33" t="s">
        <v>86</v>
      </c>
      <c r="Q6" s="17"/>
      <c r="R6" s="17"/>
      <c r="S6" s="17"/>
    </row>
    <row r="7" ht="18.6" customHeight="1" spans="1:19">
      <c r="A7" s="39"/>
      <c r="B7" s="47">
        <v>4</v>
      </c>
      <c r="C7" s="51">
        <f t="shared" si="2"/>
        <v>0.978</v>
      </c>
      <c r="D7" s="52">
        <f t="shared" si="0"/>
        <v>0</v>
      </c>
      <c r="E7" s="53">
        <f t="shared" si="3"/>
        <v>0</v>
      </c>
      <c r="F7" s="53">
        <f t="shared" si="4"/>
        <v>0</v>
      </c>
      <c r="G7" s="54">
        <f t="shared" si="5"/>
        <v>0</v>
      </c>
      <c r="H7" s="54">
        <f t="shared" si="1"/>
        <v>0</v>
      </c>
      <c r="I7" s="57"/>
      <c r="J7" s="65" t="s">
        <v>87</v>
      </c>
      <c r="K7" s="34"/>
      <c r="L7" s="36">
        <v>0</v>
      </c>
      <c r="M7" s="36">
        <v>5</v>
      </c>
      <c r="N7" s="36">
        <v>4</v>
      </c>
      <c r="O7" s="36">
        <v>0</v>
      </c>
      <c r="P7" s="33">
        <v>9</v>
      </c>
      <c r="Q7" s="17"/>
      <c r="R7" s="17"/>
      <c r="S7" s="17"/>
    </row>
    <row r="8" ht="18.6" customHeight="1" spans="1:19">
      <c r="A8" s="39"/>
      <c r="B8" s="47">
        <v>5</v>
      </c>
      <c r="C8" s="51">
        <f t="shared" si="2"/>
        <v>0.974</v>
      </c>
      <c r="D8" s="52">
        <f t="shared" si="0"/>
        <v>0</v>
      </c>
      <c r="E8" s="53">
        <f t="shared" si="3"/>
        <v>0</v>
      </c>
      <c r="F8" s="53">
        <f t="shared" si="4"/>
        <v>0</v>
      </c>
      <c r="G8" s="54">
        <f t="shared" si="5"/>
        <v>0</v>
      </c>
      <c r="H8" s="54">
        <f t="shared" si="1"/>
        <v>0</v>
      </c>
      <c r="I8" s="57"/>
      <c r="J8" s="66">
        <f>(L8*9+L17*3)/12</f>
        <v>0.999152777777778</v>
      </c>
      <c r="K8" s="34" t="s">
        <v>88</v>
      </c>
      <c r="L8" s="67">
        <f>(M5*M7+N5*N7)/P7</f>
        <v>0.974977777777778</v>
      </c>
      <c r="M8" s="68"/>
      <c r="N8" s="68"/>
      <c r="O8" s="68"/>
      <c r="P8" s="69"/>
      <c r="Q8" s="17"/>
      <c r="R8" s="17"/>
      <c r="S8" s="17"/>
    </row>
    <row r="9" ht="18.6" customHeight="1" spans="1:19">
      <c r="A9" s="39"/>
      <c r="B9" s="47">
        <v>6</v>
      </c>
      <c r="C9" s="51">
        <f t="shared" si="2"/>
        <v>0.97</v>
      </c>
      <c r="D9" s="52">
        <f t="shared" si="0"/>
        <v>0</v>
      </c>
      <c r="E9" s="53">
        <f t="shared" si="3"/>
        <v>0</v>
      </c>
      <c r="F9" s="53">
        <f t="shared" si="4"/>
        <v>0</v>
      </c>
      <c r="G9" s="54">
        <f t="shared" si="5"/>
        <v>0</v>
      </c>
      <c r="H9" s="54">
        <f t="shared" si="1"/>
        <v>0</v>
      </c>
      <c r="I9" s="57"/>
      <c r="J9" s="70" t="s">
        <v>197</v>
      </c>
      <c r="K9" s="17"/>
      <c r="L9" s="17"/>
      <c r="M9" s="17"/>
      <c r="N9" s="17"/>
      <c r="O9" s="17"/>
      <c r="P9" s="17"/>
      <c r="Q9" s="17"/>
      <c r="R9" s="17"/>
      <c r="S9" s="17"/>
    </row>
    <row r="10" ht="18.6" customHeight="1" spans="1:19">
      <c r="A10" s="39"/>
      <c r="B10" s="47">
        <v>7</v>
      </c>
      <c r="C10" s="51">
        <f t="shared" si="2"/>
        <v>0.966</v>
      </c>
      <c r="D10" s="52">
        <f t="shared" si="0"/>
        <v>0</v>
      </c>
      <c r="E10" s="53">
        <f t="shared" si="3"/>
        <v>0</v>
      </c>
      <c r="F10" s="53">
        <f t="shared" si="4"/>
        <v>0</v>
      </c>
      <c r="G10" s="54">
        <f t="shared" si="5"/>
        <v>0</v>
      </c>
      <c r="H10" s="54">
        <f t="shared" si="1"/>
        <v>0</v>
      </c>
      <c r="I10" s="57"/>
      <c r="J10" s="143">
        <f>J12+J14</f>
        <v>0</v>
      </c>
      <c r="K10" s="72" t="s">
        <v>90</v>
      </c>
      <c r="L10" s="70"/>
      <c r="M10" s="70"/>
      <c r="N10" s="70"/>
      <c r="O10" s="70"/>
      <c r="P10" s="70"/>
      <c r="Q10" s="70"/>
      <c r="R10" s="70"/>
      <c r="S10" s="70"/>
    </row>
    <row r="11" ht="18.6" customHeight="1" spans="1:19">
      <c r="A11" s="39"/>
      <c r="B11" s="47">
        <v>8</v>
      </c>
      <c r="C11" s="51">
        <f t="shared" si="2"/>
        <v>0.962</v>
      </c>
      <c r="D11" s="52">
        <f t="shared" si="0"/>
        <v>0</v>
      </c>
      <c r="E11" s="53">
        <f t="shared" si="3"/>
        <v>0</v>
      </c>
      <c r="F11" s="53">
        <f t="shared" si="4"/>
        <v>0</v>
      </c>
      <c r="G11" s="54">
        <f t="shared" si="5"/>
        <v>0</v>
      </c>
      <c r="H11" s="54">
        <f t="shared" si="1"/>
        <v>0</v>
      </c>
      <c r="I11" s="57"/>
      <c r="J11" s="70" t="s">
        <v>198</v>
      </c>
      <c r="K11" s="72" t="s">
        <v>61</v>
      </c>
      <c r="L11" s="70" t="s">
        <v>62</v>
      </c>
      <c r="M11" s="70" t="s">
        <v>63</v>
      </c>
      <c r="N11" s="70" t="s">
        <v>64</v>
      </c>
      <c r="O11" s="70" t="s">
        <v>65</v>
      </c>
      <c r="P11" s="70" t="s">
        <v>66</v>
      </c>
      <c r="Q11" s="70" t="s">
        <v>67</v>
      </c>
      <c r="R11" s="70" t="s">
        <v>68</v>
      </c>
      <c r="S11" s="70" t="s">
        <v>69</v>
      </c>
    </row>
    <row r="12" ht="18.6" customHeight="1" spans="1:19">
      <c r="A12" s="39"/>
      <c r="B12" s="47">
        <v>9</v>
      </c>
      <c r="C12" s="51">
        <f t="shared" si="2"/>
        <v>0.958</v>
      </c>
      <c r="D12" s="52">
        <f t="shared" si="0"/>
        <v>0</v>
      </c>
      <c r="E12" s="53">
        <f t="shared" si="3"/>
        <v>0</v>
      </c>
      <c r="F12" s="53">
        <f t="shared" si="4"/>
        <v>0</v>
      </c>
      <c r="G12" s="54">
        <f t="shared" si="5"/>
        <v>0</v>
      </c>
      <c r="H12" s="54">
        <f t="shared" si="1"/>
        <v>0</v>
      </c>
      <c r="I12" s="57"/>
      <c r="J12" s="143">
        <f>M21+M22+M23+M24+M25+M26+M30+M31+M32</f>
        <v>0</v>
      </c>
      <c r="K12" s="72"/>
      <c r="L12" s="73">
        <f t="shared" ref="L12:O12" si="6">L3</f>
        <v>1.4773</v>
      </c>
      <c r="M12" s="73">
        <f t="shared" si="6"/>
        <v>1.1872</v>
      </c>
      <c r="N12" s="73">
        <f t="shared" si="6"/>
        <v>0.7097</v>
      </c>
      <c r="O12" s="73" t="str">
        <f t="shared" si="6"/>
        <v>忽略</v>
      </c>
      <c r="P12" s="70">
        <f>光伏发电衰减表min!P12</f>
        <v>0</v>
      </c>
      <c r="Q12" s="70">
        <f>光伏发电衰减表min!Q12</f>
        <v>0</v>
      </c>
      <c r="R12" s="70">
        <f>光伏发电衰减表min!R12</f>
        <v>0</v>
      </c>
      <c r="S12" s="70">
        <f>光伏发电衰减表min!S12</f>
        <v>0</v>
      </c>
    </row>
    <row r="13" ht="18.6" customHeight="1" spans="1:19">
      <c r="A13" s="39"/>
      <c r="B13" s="47">
        <v>10</v>
      </c>
      <c r="C13" s="51">
        <f t="shared" si="2"/>
        <v>0.954</v>
      </c>
      <c r="D13" s="52">
        <f t="shared" si="0"/>
        <v>0</v>
      </c>
      <c r="E13" s="53">
        <f t="shared" si="3"/>
        <v>0</v>
      </c>
      <c r="F13" s="53">
        <f t="shared" si="4"/>
        <v>0</v>
      </c>
      <c r="G13" s="54">
        <f t="shared" si="5"/>
        <v>0</v>
      </c>
      <c r="H13" s="54">
        <f t="shared" si="1"/>
        <v>0</v>
      </c>
      <c r="I13" s="57"/>
      <c r="J13" s="70" t="s">
        <v>92</v>
      </c>
      <c r="K13" s="74" t="s">
        <v>83</v>
      </c>
      <c r="L13" s="63" t="s">
        <v>62</v>
      </c>
      <c r="M13" s="63" t="s">
        <v>63</v>
      </c>
      <c r="N13" s="63" t="s">
        <v>64</v>
      </c>
      <c r="O13" s="63" t="s">
        <v>65</v>
      </c>
      <c r="P13" s="75"/>
      <c r="Q13" s="39"/>
      <c r="R13" s="39"/>
      <c r="S13" s="39"/>
    </row>
    <row r="14" ht="18.6" customHeight="1" spans="1:19">
      <c r="A14" s="39"/>
      <c r="B14" s="47">
        <v>11</v>
      </c>
      <c r="C14" s="51">
        <f t="shared" si="2"/>
        <v>0.95</v>
      </c>
      <c r="D14" s="52">
        <f t="shared" si="0"/>
        <v>0</v>
      </c>
      <c r="E14" s="53">
        <f t="shared" si="3"/>
        <v>0</v>
      </c>
      <c r="F14" s="53">
        <f t="shared" si="4"/>
        <v>0</v>
      </c>
      <c r="G14" s="54">
        <f t="shared" si="5"/>
        <v>0</v>
      </c>
      <c r="H14" s="54">
        <f t="shared" si="1"/>
        <v>0</v>
      </c>
      <c r="I14" s="57"/>
      <c r="J14" s="143">
        <f>M27+M28+M29</f>
        <v>0</v>
      </c>
      <c r="K14" s="76"/>
      <c r="L14" s="64">
        <f>L12+P12+S12</f>
        <v>1.4773</v>
      </c>
      <c r="M14" s="64">
        <f>M12+Q12+S12</f>
        <v>1.1872</v>
      </c>
      <c r="N14" s="64">
        <f>N12+R12+S12</f>
        <v>0.7097</v>
      </c>
      <c r="O14" s="64" t="s">
        <v>82</v>
      </c>
      <c r="P14" s="77"/>
      <c r="Q14" s="39"/>
      <c r="R14" s="39"/>
      <c r="S14" s="39"/>
    </row>
    <row r="15" ht="18.6" customHeight="1" spans="1:19">
      <c r="A15" s="39"/>
      <c r="B15" s="47">
        <v>12</v>
      </c>
      <c r="C15" s="51">
        <f t="shared" si="2"/>
        <v>0.946</v>
      </c>
      <c r="D15" s="52">
        <f t="shared" si="0"/>
        <v>0</v>
      </c>
      <c r="E15" s="53">
        <f t="shared" si="3"/>
        <v>0</v>
      </c>
      <c r="F15" s="53">
        <f t="shared" si="4"/>
        <v>0</v>
      </c>
      <c r="G15" s="54">
        <f t="shared" si="5"/>
        <v>0</v>
      </c>
      <c r="H15" s="54">
        <f t="shared" si="1"/>
        <v>0</v>
      </c>
      <c r="I15" s="57"/>
      <c r="J15" s="39"/>
      <c r="K15" s="33"/>
      <c r="L15" s="33" t="s">
        <v>85</v>
      </c>
      <c r="M15" s="33" t="s">
        <v>85</v>
      </c>
      <c r="N15" s="33" t="s">
        <v>85</v>
      </c>
      <c r="O15" s="33" t="s">
        <v>85</v>
      </c>
      <c r="P15" s="33" t="s">
        <v>86</v>
      </c>
      <c r="Q15" s="39"/>
      <c r="R15" s="39"/>
      <c r="S15" s="39"/>
    </row>
    <row r="16" ht="18.6" customHeight="1" spans="1:19">
      <c r="A16" s="39"/>
      <c r="B16" s="47">
        <v>13</v>
      </c>
      <c r="C16" s="51">
        <f t="shared" si="2"/>
        <v>0.942</v>
      </c>
      <c r="D16" s="52">
        <f t="shared" si="0"/>
        <v>0</v>
      </c>
      <c r="E16" s="53">
        <f t="shared" si="3"/>
        <v>0</v>
      </c>
      <c r="F16" s="53">
        <f t="shared" si="4"/>
        <v>0</v>
      </c>
      <c r="G16" s="54">
        <f t="shared" si="5"/>
        <v>0</v>
      </c>
      <c r="H16" s="54">
        <f t="shared" si="1"/>
        <v>0</v>
      </c>
      <c r="I16" s="57"/>
      <c r="J16" s="39"/>
      <c r="K16" s="33"/>
      <c r="L16" s="36">
        <v>3</v>
      </c>
      <c r="M16" s="36">
        <v>2</v>
      </c>
      <c r="N16" s="36">
        <v>4</v>
      </c>
      <c r="O16" s="36">
        <v>0</v>
      </c>
      <c r="P16" s="33">
        <v>9</v>
      </c>
      <c r="Q16" s="39"/>
      <c r="R16" s="39"/>
      <c r="S16" s="39"/>
    </row>
    <row r="17" ht="18.6" customHeight="1" spans="1:19">
      <c r="A17" s="39"/>
      <c r="B17" s="47">
        <v>14</v>
      </c>
      <c r="C17" s="51">
        <f t="shared" si="2"/>
        <v>0.938</v>
      </c>
      <c r="D17" s="52">
        <f t="shared" si="0"/>
        <v>0</v>
      </c>
      <c r="E17" s="53">
        <f t="shared" si="3"/>
        <v>0</v>
      </c>
      <c r="F17" s="53">
        <f t="shared" si="4"/>
        <v>0</v>
      </c>
      <c r="G17" s="54">
        <f t="shared" si="5"/>
        <v>0</v>
      </c>
      <c r="H17" s="54">
        <f t="shared" si="1"/>
        <v>0</v>
      </c>
      <c r="I17" s="57"/>
      <c r="J17" s="39"/>
      <c r="K17" s="33" t="s">
        <v>88</v>
      </c>
      <c r="L17" s="67">
        <f>(L14*L16+M14*M16+N14*N16)/P16</f>
        <v>1.07167777777778</v>
      </c>
      <c r="M17" s="68"/>
      <c r="N17" s="68"/>
      <c r="O17" s="68"/>
      <c r="P17" s="69"/>
      <c r="Q17" s="39"/>
      <c r="R17" s="39"/>
      <c r="S17" s="39"/>
    </row>
    <row r="18" ht="18.6" customHeight="1" spans="1:19">
      <c r="A18" s="39"/>
      <c r="B18" s="47">
        <v>15</v>
      </c>
      <c r="C18" s="51">
        <f t="shared" si="2"/>
        <v>0.934</v>
      </c>
      <c r="D18" s="52">
        <f t="shared" si="0"/>
        <v>0</v>
      </c>
      <c r="E18" s="53">
        <f t="shared" si="3"/>
        <v>0</v>
      </c>
      <c r="F18" s="53">
        <f t="shared" si="4"/>
        <v>0</v>
      </c>
      <c r="G18" s="54">
        <f t="shared" si="5"/>
        <v>0</v>
      </c>
      <c r="H18" s="54">
        <f t="shared" si="1"/>
        <v>0</v>
      </c>
      <c r="I18" s="57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ht="18.6" customHeight="1" spans="1:19">
      <c r="A19" s="39"/>
      <c r="B19" s="47">
        <v>16</v>
      </c>
      <c r="C19" s="51">
        <f t="shared" si="2"/>
        <v>0.93</v>
      </c>
      <c r="D19" s="52">
        <f t="shared" si="0"/>
        <v>0</v>
      </c>
      <c r="E19" s="53">
        <f t="shared" si="3"/>
        <v>0</v>
      </c>
      <c r="F19" s="53">
        <f t="shared" si="4"/>
        <v>0</v>
      </c>
      <c r="G19" s="54">
        <f t="shared" si="5"/>
        <v>0</v>
      </c>
      <c r="H19" s="54">
        <f t="shared" si="1"/>
        <v>0</v>
      </c>
      <c r="I19" s="57"/>
      <c r="J19" s="39"/>
      <c r="K19" s="79" t="s">
        <v>199</v>
      </c>
      <c r="L19" s="80"/>
      <c r="M19" s="80"/>
      <c r="N19" s="34"/>
      <c r="O19" s="39"/>
      <c r="P19" s="39"/>
      <c r="Q19" s="39"/>
      <c r="R19" s="39"/>
      <c r="S19" s="39"/>
    </row>
    <row r="20" ht="18.6" customHeight="1" spans="1:19">
      <c r="A20" s="39"/>
      <c r="B20" s="47">
        <v>17</v>
      </c>
      <c r="C20" s="51">
        <f t="shared" si="2"/>
        <v>0.926</v>
      </c>
      <c r="D20" s="52">
        <f t="shared" si="0"/>
        <v>0</v>
      </c>
      <c r="E20" s="53">
        <f t="shared" si="3"/>
        <v>0</v>
      </c>
      <c r="F20" s="53">
        <f t="shared" si="4"/>
        <v>0</v>
      </c>
      <c r="G20" s="54">
        <f t="shared" si="5"/>
        <v>0</v>
      </c>
      <c r="H20" s="54">
        <f t="shared" si="1"/>
        <v>0</v>
      </c>
      <c r="I20" s="57"/>
      <c r="J20" s="39"/>
      <c r="K20" s="79" t="s">
        <v>14</v>
      </c>
      <c r="L20" s="34"/>
      <c r="M20" s="79" t="s">
        <v>95</v>
      </c>
      <c r="N20" s="34"/>
      <c r="O20" s="39"/>
      <c r="P20" s="39"/>
      <c r="Q20" s="39"/>
      <c r="R20" s="39"/>
      <c r="S20" s="39"/>
    </row>
    <row r="21" ht="18.6" customHeight="1" spans="1:19">
      <c r="A21" s="39"/>
      <c r="B21" s="47">
        <v>18</v>
      </c>
      <c r="C21" s="51">
        <f t="shared" si="2"/>
        <v>0.922</v>
      </c>
      <c r="D21" s="52">
        <f t="shared" si="0"/>
        <v>0</v>
      </c>
      <c r="E21" s="53">
        <f t="shared" si="3"/>
        <v>0</v>
      </c>
      <c r="F21" s="53">
        <f t="shared" si="4"/>
        <v>0</v>
      </c>
      <c r="G21" s="54">
        <f t="shared" si="5"/>
        <v>0</v>
      </c>
      <c r="H21" s="54">
        <f t="shared" si="1"/>
        <v>0</v>
      </c>
      <c r="I21" s="57"/>
      <c r="J21" s="39"/>
      <c r="K21" s="33" t="s">
        <v>21</v>
      </c>
      <c r="L21" s="33"/>
      <c r="M21" s="81">
        <f>基础数据!L12</f>
        <v>0</v>
      </c>
      <c r="N21" s="81"/>
      <c r="O21" s="39"/>
      <c r="P21" s="39"/>
      <c r="Q21" s="39"/>
      <c r="R21" s="39"/>
      <c r="S21" s="39"/>
    </row>
    <row r="22" ht="18.6" customHeight="1" spans="1:19">
      <c r="A22" s="39"/>
      <c r="B22" s="47">
        <v>19</v>
      </c>
      <c r="C22" s="51">
        <f t="shared" si="2"/>
        <v>0.918</v>
      </c>
      <c r="D22" s="52">
        <f t="shared" si="0"/>
        <v>0</v>
      </c>
      <c r="E22" s="53">
        <f t="shared" si="3"/>
        <v>0</v>
      </c>
      <c r="F22" s="53">
        <f t="shared" si="4"/>
        <v>0</v>
      </c>
      <c r="G22" s="54">
        <f t="shared" si="5"/>
        <v>0</v>
      </c>
      <c r="H22" s="54">
        <f t="shared" si="1"/>
        <v>0</v>
      </c>
      <c r="I22" s="57"/>
      <c r="J22" s="39"/>
      <c r="K22" s="33" t="s">
        <v>22</v>
      </c>
      <c r="L22" s="33"/>
      <c r="M22" s="81">
        <f>基础数据!L13</f>
        <v>0</v>
      </c>
      <c r="N22" s="81"/>
      <c r="O22" s="39"/>
      <c r="P22" s="39"/>
      <c r="Q22" s="39"/>
      <c r="R22" s="39"/>
      <c r="S22" s="39"/>
    </row>
    <row r="23" ht="18.6" customHeight="1" spans="1:19">
      <c r="A23" s="39"/>
      <c r="B23" s="47">
        <v>20</v>
      </c>
      <c r="C23" s="51">
        <f t="shared" si="2"/>
        <v>0.914</v>
      </c>
      <c r="D23" s="52">
        <f t="shared" si="0"/>
        <v>0</v>
      </c>
      <c r="E23" s="53">
        <f t="shared" si="3"/>
        <v>0</v>
      </c>
      <c r="F23" s="53">
        <f t="shared" si="4"/>
        <v>0</v>
      </c>
      <c r="G23" s="54">
        <f t="shared" si="5"/>
        <v>0</v>
      </c>
      <c r="H23" s="54">
        <f t="shared" si="1"/>
        <v>0</v>
      </c>
      <c r="I23" s="57"/>
      <c r="J23" s="39"/>
      <c r="K23" s="33" t="s">
        <v>23</v>
      </c>
      <c r="L23" s="33"/>
      <c r="M23" s="81">
        <f>基础数据!L14</f>
        <v>0</v>
      </c>
      <c r="N23" s="81"/>
      <c r="O23" s="39"/>
      <c r="P23" s="39"/>
      <c r="Q23" s="39"/>
      <c r="R23" s="39"/>
      <c r="S23" s="39"/>
    </row>
    <row r="24" ht="18.6" customHeight="1" spans="1:19">
      <c r="A24" s="39"/>
      <c r="B24" s="47">
        <v>21</v>
      </c>
      <c r="C24" s="51">
        <f t="shared" si="2"/>
        <v>0.91</v>
      </c>
      <c r="D24" s="52">
        <f t="shared" si="0"/>
        <v>0</v>
      </c>
      <c r="E24" s="53">
        <f t="shared" si="3"/>
        <v>0</v>
      </c>
      <c r="F24" s="53">
        <f t="shared" si="4"/>
        <v>0</v>
      </c>
      <c r="G24" s="54">
        <f t="shared" si="5"/>
        <v>0</v>
      </c>
      <c r="H24" s="54">
        <f t="shared" si="1"/>
        <v>0</v>
      </c>
      <c r="I24" s="57"/>
      <c r="J24" s="39"/>
      <c r="K24" s="33" t="s">
        <v>24</v>
      </c>
      <c r="L24" s="33"/>
      <c r="M24" s="81">
        <f>基础数据!L15</f>
        <v>0</v>
      </c>
      <c r="N24" s="81"/>
      <c r="O24" s="39"/>
      <c r="P24" s="39"/>
      <c r="Q24" s="39"/>
      <c r="R24" s="39"/>
      <c r="S24" s="39"/>
    </row>
    <row r="25" ht="18.6" customHeight="1" spans="1:19">
      <c r="A25" s="39"/>
      <c r="B25" s="47">
        <v>22</v>
      </c>
      <c r="C25" s="51">
        <f t="shared" si="2"/>
        <v>0.906</v>
      </c>
      <c r="D25" s="52">
        <f t="shared" si="0"/>
        <v>0</v>
      </c>
      <c r="E25" s="53">
        <f t="shared" si="3"/>
        <v>0</v>
      </c>
      <c r="F25" s="53">
        <f t="shared" si="4"/>
        <v>0</v>
      </c>
      <c r="G25" s="54">
        <f t="shared" si="5"/>
        <v>0</v>
      </c>
      <c r="H25" s="54">
        <f t="shared" si="1"/>
        <v>0</v>
      </c>
      <c r="I25" s="57"/>
      <c r="J25" s="39"/>
      <c r="K25" s="33" t="s">
        <v>25</v>
      </c>
      <c r="L25" s="33"/>
      <c r="M25" s="81">
        <f>基础数据!L16</f>
        <v>0</v>
      </c>
      <c r="N25" s="81"/>
      <c r="O25" s="39"/>
      <c r="P25" s="39"/>
      <c r="Q25" s="39"/>
      <c r="R25" s="39"/>
      <c r="S25" s="39"/>
    </row>
    <row r="26" ht="18.6" customHeight="1" spans="1:19">
      <c r="A26" s="39"/>
      <c r="B26" s="47">
        <v>23</v>
      </c>
      <c r="C26" s="51">
        <f t="shared" si="2"/>
        <v>0.902</v>
      </c>
      <c r="D26" s="52">
        <f t="shared" si="0"/>
        <v>0</v>
      </c>
      <c r="E26" s="53">
        <f t="shared" si="3"/>
        <v>0</v>
      </c>
      <c r="F26" s="53">
        <f t="shared" si="4"/>
        <v>0</v>
      </c>
      <c r="G26" s="54">
        <f t="shared" si="5"/>
        <v>0</v>
      </c>
      <c r="H26" s="54">
        <f t="shared" si="1"/>
        <v>0</v>
      </c>
      <c r="I26" s="57"/>
      <c r="J26" s="39"/>
      <c r="K26" s="33" t="s">
        <v>26</v>
      </c>
      <c r="L26" s="33"/>
      <c r="M26" s="81">
        <f>基础数据!L17</f>
        <v>0</v>
      </c>
      <c r="N26" s="81"/>
      <c r="O26" s="39"/>
      <c r="P26" s="39"/>
      <c r="Q26" s="39"/>
      <c r="R26" s="39"/>
      <c r="S26" s="39"/>
    </row>
    <row r="27" ht="18.6" customHeight="1" spans="1:19">
      <c r="A27" s="39"/>
      <c r="B27" s="47">
        <v>24</v>
      </c>
      <c r="C27" s="51">
        <f t="shared" si="2"/>
        <v>0.898</v>
      </c>
      <c r="D27" s="52">
        <f t="shared" si="0"/>
        <v>0</v>
      </c>
      <c r="E27" s="53">
        <f t="shared" si="3"/>
        <v>0</v>
      </c>
      <c r="F27" s="53">
        <f t="shared" si="4"/>
        <v>0</v>
      </c>
      <c r="G27" s="54">
        <f t="shared" si="5"/>
        <v>0</v>
      </c>
      <c r="H27" s="54">
        <f t="shared" si="1"/>
        <v>0</v>
      </c>
      <c r="I27" s="57"/>
      <c r="J27" s="39"/>
      <c r="K27" s="33" t="s">
        <v>27</v>
      </c>
      <c r="L27" s="33"/>
      <c r="M27" s="81">
        <f>基础数据!L18</f>
        <v>0</v>
      </c>
      <c r="N27" s="81"/>
      <c r="O27" s="39"/>
      <c r="P27" s="39"/>
      <c r="Q27" s="39"/>
      <c r="R27" s="39"/>
      <c r="S27" s="39"/>
    </row>
    <row r="28" ht="18.6" customHeight="1" spans="1:19">
      <c r="A28" s="39"/>
      <c r="B28" s="47">
        <v>25</v>
      </c>
      <c r="C28" s="51">
        <f t="shared" si="2"/>
        <v>0.894</v>
      </c>
      <c r="D28" s="52">
        <f t="shared" si="0"/>
        <v>0</v>
      </c>
      <c r="E28" s="53">
        <f t="shared" si="3"/>
        <v>0</v>
      </c>
      <c r="F28" s="53">
        <f t="shared" si="4"/>
        <v>0</v>
      </c>
      <c r="G28" s="54">
        <f t="shared" si="5"/>
        <v>0</v>
      </c>
      <c r="H28" s="54">
        <f t="shared" si="1"/>
        <v>0</v>
      </c>
      <c r="I28" s="57"/>
      <c r="J28" s="39"/>
      <c r="K28" s="33" t="s">
        <v>28</v>
      </c>
      <c r="L28" s="33"/>
      <c r="M28" s="81">
        <f>基础数据!L19</f>
        <v>0</v>
      </c>
      <c r="N28" s="81"/>
      <c r="O28" s="39"/>
      <c r="P28" s="39"/>
      <c r="Q28" s="39"/>
      <c r="R28" s="39"/>
      <c r="S28" s="39"/>
    </row>
    <row r="29" ht="18.6" customHeight="1" spans="1:19">
      <c r="A29" s="39"/>
      <c r="B29" s="47">
        <v>26</v>
      </c>
      <c r="C29" s="51">
        <f t="shared" si="2"/>
        <v>0.89</v>
      </c>
      <c r="D29" s="52">
        <f t="shared" si="0"/>
        <v>0</v>
      </c>
      <c r="E29" s="53">
        <f t="shared" si="3"/>
        <v>0</v>
      </c>
      <c r="F29" s="53">
        <f t="shared" si="4"/>
        <v>0</v>
      </c>
      <c r="G29" s="54">
        <f t="shared" si="5"/>
        <v>0</v>
      </c>
      <c r="H29" s="54">
        <f t="shared" si="1"/>
        <v>0</v>
      </c>
      <c r="J29" s="39"/>
      <c r="K29" s="33" t="s">
        <v>29</v>
      </c>
      <c r="L29" s="33"/>
      <c r="M29" s="81">
        <f>基础数据!L20</f>
        <v>0</v>
      </c>
      <c r="N29" s="81"/>
      <c r="O29" s="39"/>
      <c r="P29" s="39"/>
      <c r="Q29" s="39"/>
      <c r="R29" s="39"/>
      <c r="S29" s="39"/>
    </row>
    <row r="30" ht="18.6" customHeight="1" spans="1:19">
      <c r="A30" s="39"/>
      <c r="B30" s="47">
        <v>27</v>
      </c>
      <c r="C30" s="51">
        <f t="shared" si="2"/>
        <v>0.886</v>
      </c>
      <c r="D30" s="52">
        <f t="shared" si="0"/>
        <v>0</v>
      </c>
      <c r="E30" s="53">
        <f t="shared" si="3"/>
        <v>0</v>
      </c>
      <c r="F30" s="53">
        <f t="shared" si="4"/>
        <v>0</v>
      </c>
      <c r="G30" s="54">
        <f t="shared" si="5"/>
        <v>0</v>
      </c>
      <c r="H30" s="54">
        <f t="shared" si="1"/>
        <v>0</v>
      </c>
      <c r="J30" s="39"/>
      <c r="K30" s="33" t="s">
        <v>30</v>
      </c>
      <c r="L30" s="33"/>
      <c r="M30" s="81">
        <f>基础数据!L21</f>
        <v>0</v>
      </c>
      <c r="N30" s="81"/>
      <c r="O30" s="39"/>
      <c r="P30" s="39"/>
      <c r="Q30" s="39"/>
      <c r="R30" s="39"/>
      <c r="S30" s="39"/>
    </row>
    <row r="31" ht="18.6" customHeight="1" spans="1:19">
      <c r="A31" s="39"/>
      <c r="B31" s="47">
        <v>28</v>
      </c>
      <c r="C31" s="51">
        <f t="shared" si="2"/>
        <v>0.882</v>
      </c>
      <c r="D31" s="52">
        <f t="shared" si="0"/>
        <v>0</v>
      </c>
      <c r="E31" s="53">
        <f t="shared" si="3"/>
        <v>0</v>
      </c>
      <c r="F31" s="53">
        <f t="shared" si="4"/>
        <v>0</v>
      </c>
      <c r="G31" s="54">
        <f t="shared" si="5"/>
        <v>0</v>
      </c>
      <c r="H31" s="54">
        <f t="shared" si="1"/>
        <v>0</v>
      </c>
      <c r="J31" s="39"/>
      <c r="K31" s="33" t="s">
        <v>31</v>
      </c>
      <c r="L31" s="33"/>
      <c r="M31" s="81">
        <f>基础数据!L22</f>
        <v>0</v>
      </c>
      <c r="N31" s="81"/>
      <c r="O31" s="39"/>
      <c r="P31" s="39"/>
      <c r="Q31" s="39"/>
      <c r="R31" s="39"/>
      <c r="S31" s="39"/>
    </row>
    <row r="32" ht="18.6" customHeight="1" spans="1:19">
      <c r="A32" s="39"/>
      <c r="B32" s="47">
        <v>29</v>
      </c>
      <c r="C32" s="51">
        <f t="shared" si="2"/>
        <v>0.878</v>
      </c>
      <c r="D32" s="52">
        <f t="shared" si="0"/>
        <v>0</v>
      </c>
      <c r="E32" s="53">
        <f t="shared" si="3"/>
        <v>0</v>
      </c>
      <c r="F32" s="53">
        <f t="shared" si="4"/>
        <v>0</v>
      </c>
      <c r="G32" s="54">
        <f t="shared" si="5"/>
        <v>0</v>
      </c>
      <c r="H32" s="54">
        <f t="shared" si="1"/>
        <v>0</v>
      </c>
      <c r="J32" s="39"/>
      <c r="K32" s="33" t="s">
        <v>32</v>
      </c>
      <c r="L32" s="33"/>
      <c r="M32" s="81">
        <f>基础数据!L23</f>
        <v>0</v>
      </c>
      <c r="N32" s="81"/>
      <c r="O32" s="39"/>
      <c r="P32" s="39"/>
      <c r="Q32" s="39"/>
      <c r="R32" s="39"/>
      <c r="S32" s="39"/>
    </row>
    <row r="33" ht="18.6" customHeight="1" spans="1:19">
      <c r="A33" s="39"/>
      <c r="B33" s="47">
        <v>30</v>
      </c>
      <c r="C33" s="51">
        <f t="shared" si="2"/>
        <v>0.874</v>
      </c>
      <c r="D33" s="52">
        <f t="shared" si="0"/>
        <v>0</v>
      </c>
      <c r="E33" s="53">
        <f t="shared" si="3"/>
        <v>0</v>
      </c>
      <c r="F33" s="53">
        <f t="shared" si="4"/>
        <v>0</v>
      </c>
      <c r="G33" s="54">
        <f t="shared" si="5"/>
        <v>0</v>
      </c>
      <c r="H33" s="54">
        <f t="shared" si="1"/>
        <v>0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ht="18.6" customHeight="1" spans="1:8">
      <c r="A34" s="39"/>
      <c r="B34" s="55" t="s">
        <v>34</v>
      </c>
      <c r="C34" s="55"/>
      <c r="D34" s="56">
        <f t="shared" ref="D34:G34" si="7">SUM(D4:D33)</f>
        <v>0</v>
      </c>
      <c r="E34" s="56">
        <f t="shared" si="7"/>
        <v>0</v>
      </c>
      <c r="F34" s="56">
        <f t="shared" si="7"/>
        <v>0</v>
      </c>
      <c r="G34" s="56">
        <f t="shared" si="7"/>
        <v>0</v>
      </c>
      <c r="H34" s="46"/>
    </row>
    <row r="35" ht="18.6" customHeight="1" spans="1:8">
      <c r="A35" s="39" t="s">
        <v>99</v>
      </c>
      <c r="B35" s="46"/>
      <c r="C35" s="46"/>
      <c r="D35" s="46"/>
      <c r="E35" s="46"/>
      <c r="F35" s="46"/>
      <c r="G35" s="46"/>
      <c r="H35" s="46"/>
    </row>
    <row r="36" ht="22.5" customHeight="1" spans="4:4">
      <c r="D36" s="57"/>
    </row>
    <row r="37" ht="22.5" customHeight="1"/>
  </sheetData>
  <mergeCells count="38">
    <mergeCell ref="K1:S1"/>
    <mergeCell ref="B2:D2"/>
    <mergeCell ref="L8:P8"/>
    <mergeCell ref="K10:S10"/>
    <mergeCell ref="L17:P17"/>
    <mergeCell ref="K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B34:C34"/>
    <mergeCell ref="K2:K3"/>
    <mergeCell ref="K4:K5"/>
    <mergeCell ref="K11:K12"/>
    <mergeCell ref="K13:K14"/>
    <mergeCell ref="P4:P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I16" sqref="I16"/>
    </sheetView>
  </sheetViews>
  <sheetFormatPr defaultColWidth="9" defaultRowHeight="21.95" customHeight="1"/>
  <cols>
    <col min="6" max="6" width="12.5" style="41" customWidth="1"/>
    <col min="7" max="7" width="12.5" style="57" customWidth="1"/>
    <col min="8" max="9" width="12.5" style="41" customWidth="1"/>
    <col min="10" max="10" width="12.625" customWidth="1"/>
    <col min="11" max="11" width="26.5" customWidth="1"/>
    <col min="12" max="12" width="14" customWidth="1"/>
    <col min="13" max="13" width="22.125" customWidth="1"/>
    <col min="14" max="14" width="15.375" customWidth="1"/>
  </cols>
  <sheetData>
    <row r="1" customHeight="1" spans="11:11">
      <c r="K1" s="131"/>
    </row>
    <row r="2" customHeight="1" spans="1:9">
      <c r="A2" s="121"/>
      <c r="B2" s="121" t="s">
        <v>202</v>
      </c>
      <c r="C2" s="121"/>
      <c r="F2" s="122" t="s">
        <v>203</v>
      </c>
      <c r="G2" s="123"/>
      <c r="H2" s="123"/>
      <c r="I2" s="132"/>
    </row>
    <row r="3" customHeight="1" spans="1:9">
      <c r="A3" s="124" t="s">
        <v>21</v>
      </c>
      <c r="B3" s="121" t="s">
        <v>204</v>
      </c>
      <c r="C3" s="125"/>
      <c r="D3">
        <v>47472</v>
      </c>
      <c r="F3" s="126" t="s">
        <v>14</v>
      </c>
      <c r="G3" s="127" t="s">
        <v>205</v>
      </c>
      <c r="H3" s="126" t="s">
        <v>206</v>
      </c>
      <c r="I3" s="126" t="s">
        <v>57</v>
      </c>
    </row>
    <row r="4" customHeight="1" spans="1:9">
      <c r="A4" s="128"/>
      <c r="B4" s="121" t="s">
        <v>207</v>
      </c>
      <c r="C4" s="129"/>
      <c r="D4">
        <v>31456</v>
      </c>
      <c r="F4" s="126">
        <v>1</v>
      </c>
      <c r="G4" s="127">
        <f>D3*8/9</f>
        <v>42197.3333333333</v>
      </c>
      <c r="H4" s="127">
        <f>'光伏发电衰减表 输入数据'!V24</f>
        <v>38818.21581</v>
      </c>
      <c r="I4" s="133">
        <f>G4/H4</f>
        <v>1.087049789714</v>
      </c>
    </row>
    <row r="5" customHeight="1" spans="1:9">
      <c r="A5" s="130"/>
      <c r="B5" s="121" t="s">
        <v>208</v>
      </c>
      <c r="C5" s="129"/>
      <c r="D5">
        <v>47968</v>
      </c>
      <c r="F5" s="126">
        <v>2</v>
      </c>
      <c r="G5" s="127">
        <f t="shared" ref="G5:G15" si="0">D4*8/9</f>
        <v>27960.8888888889</v>
      </c>
      <c r="H5" s="127">
        <f>'光伏发电衰减表 输入数据'!V25</f>
        <v>49334.5545</v>
      </c>
      <c r="I5" s="133">
        <f t="shared" ref="I5:I16" si="1">G5/H5</f>
        <v>0.566760745531591</v>
      </c>
    </row>
    <row r="6" customHeight="1" spans="1:12">
      <c r="A6" s="124" t="s">
        <v>22</v>
      </c>
      <c r="B6" s="121" t="s">
        <v>204</v>
      </c>
      <c r="C6" s="125"/>
      <c r="D6">
        <v>54416</v>
      </c>
      <c r="F6" s="126">
        <v>3</v>
      </c>
      <c r="G6" s="127">
        <f t="shared" si="0"/>
        <v>42638.2222222222</v>
      </c>
      <c r="H6" s="127">
        <f>'光伏发电衰减表 输入数据'!V26</f>
        <v>73871.193165</v>
      </c>
      <c r="I6" s="133">
        <f t="shared" si="1"/>
        <v>0.577196880074547</v>
      </c>
      <c r="K6" s="127" t="s">
        <v>209</v>
      </c>
      <c r="L6" s="127" t="s">
        <v>210</v>
      </c>
    </row>
    <row r="7" customHeight="1" spans="1:12">
      <c r="A7" s="128"/>
      <c r="B7" s="121" t="s">
        <v>207</v>
      </c>
      <c r="C7" s="129"/>
      <c r="D7">
        <v>58688</v>
      </c>
      <c r="F7" s="126">
        <v>4</v>
      </c>
      <c r="G7" s="127">
        <f t="shared" si="0"/>
        <v>48369.7777777778</v>
      </c>
      <c r="H7" s="127">
        <f>'光伏发电衰减表 输入数据'!V27</f>
        <v>87352.98165</v>
      </c>
      <c r="I7" s="133">
        <f t="shared" si="1"/>
        <v>0.553727839211975</v>
      </c>
      <c r="K7" s="127" t="s">
        <v>211</v>
      </c>
      <c r="L7" s="134">
        <v>0.95</v>
      </c>
    </row>
    <row r="8" customHeight="1" spans="1:12">
      <c r="A8" s="130"/>
      <c r="B8" s="121" t="s">
        <v>208</v>
      </c>
      <c r="C8" s="129"/>
      <c r="D8">
        <v>74992</v>
      </c>
      <c r="F8" s="126">
        <v>5</v>
      </c>
      <c r="G8" s="127">
        <f t="shared" si="0"/>
        <v>52167.1111111111</v>
      </c>
      <c r="H8" s="127">
        <f>'光伏发电衰减表 输入数据'!V28</f>
        <v>93734.640945</v>
      </c>
      <c r="I8" s="133">
        <f t="shared" si="1"/>
        <v>0.556540363148357</v>
      </c>
      <c r="K8" s="127" t="s">
        <v>212</v>
      </c>
      <c r="L8" s="134">
        <v>0.92</v>
      </c>
    </row>
    <row r="9" customHeight="1" spans="1:12">
      <c r="A9" s="124" t="s">
        <v>23</v>
      </c>
      <c r="B9" s="121" t="s">
        <v>204</v>
      </c>
      <c r="C9" s="125"/>
      <c r="D9">
        <v>92200</v>
      </c>
      <c r="F9" s="126">
        <v>6</v>
      </c>
      <c r="G9" s="127">
        <f t="shared" si="0"/>
        <v>66659.5555555556</v>
      </c>
      <c r="H9" s="127">
        <f>'光伏发电衰减表 输入数据'!V29</f>
        <v>86124.31245</v>
      </c>
      <c r="I9" s="133">
        <f t="shared" si="1"/>
        <v>0.773992310176702</v>
      </c>
      <c r="K9" s="127" t="s">
        <v>213</v>
      </c>
      <c r="L9" s="134">
        <v>0.89</v>
      </c>
    </row>
    <row r="10" customHeight="1" spans="1:12">
      <c r="A10" s="128"/>
      <c r="B10" s="121" t="s">
        <v>207</v>
      </c>
      <c r="C10" s="129"/>
      <c r="D10">
        <v>108944</v>
      </c>
      <c r="F10" s="126">
        <v>7</v>
      </c>
      <c r="G10" s="127">
        <f t="shared" si="0"/>
        <v>81955.5555555556</v>
      </c>
      <c r="H10" s="127">
        <f>'光伏发电衰减表 输入数据'!V30</f>
        <v>117551.380155</v>
      </c>
      <c r="I10" s="133">
        <f t="shared" si="1"/>
        <v>0.697189224384191</v>
      </c>
      <c r="K10" s="127" t="s">
        <v>214</v>
      </c>
      <c r="L10" s="134">
        <v>0.86</v>
      </c>
    </row>
    <row r="11" customHeight="1" spans="1:12">
      <c r="A11" s="130"/>
      <c r="B11" s="121" t="s">
        <v>208</v>
      </c>
      <c r="C11" s="129"/>
      <c r="D11">
        <v>96832</v>
      </c>
      <c r="F11" s="126">
        <v>8</v>
      </c>
      <c r="G11" s="127">
        <f t="shared" si="0"/>
        <v>96839.1111111111</v>
      </c>
      <c r="H11" s="127">
        <f>'光伏发电衰减表 输入数据'!V31</f>
        <v>113287.19391</v>
      </c>
      <c r="I11" s="133">
        <f t="shared" si="1"/>
        <v>0.854810749289492</v>
      </c>
      <c r="K11" s="127" t="s">
        <v>215</v>
      </c>
      <c r="L11" s="134">
        <v>0.83</v>
      </c>
    </row>
    <row r="12" customHeight="1" spans="1:12">
      <c r="A12" s="124" t="s">
        <v>24</v>
      </c>
      <c r="B12" s="121" t="s">
        <v>204</v>
      </c>
      <c r="C12" s="125"/>
      <c r="D12">
        <v>68096</v>
      </c>
      <c r="F12" s="126">
        <v>9</v>
      </c>
      <c r="G12" s="127">
        <f t="shared" si="0"/>
        <v>86072.8888888889</v>
      </c>
      <c r="H12" s="127">
        <f>'光伏发电衰减表 输入数据'!V32</f>
        <v>77665.1733</v>
      </c>
      <c r="I12" s="133">
        <f t="shared" si="1"/>
        <v>1.10825593031785</v>
      </c>
      <c r="K12" s="127" t="s">
        <v>216</v>
      </c>
      <c r="L12" s="134">
        <v>0.8</v>
      </c>
    </row>
    <row r="13" customHeight="1" spans="1:12">
      <c r="A13" s="128"/>
      <c r="B13" s="121" t="s">
        <v>207</v>
      </c>
      <c r="C13" s="129"/>
      <c r="D13">
        <v>49840</v>
      </c>
      <c r="F13" s="126">
        <v>10</v>
      </c>
      <c r="G13" s="127">
        <f t="shared" si="0"/>
        <v>60529.7777777778</v>
      </c>
      <c r="H13" s="127">
        <f>'光伏发电衰减表 输入数据'!V33</f>
        <v>50246.491515</v>
      </c>
      <c r="I13" s="133">
        <f t="shared" si="1"/>
        <v>1.20465680195219</v>
      </c>
      <c r="K13" s="127" t="s">
        <v>217</v>
      </c>
      <c r="L13" s="134">
        <v>0.77</v>
      </c>
    </row>
    <row r="14" customHeight="1" spans="1:12">
      <c r="A14" s="130"/>
      <c r="B14" s="121" t="s">
        <v>208</v>
      </c>
      <c r="C14" s="129"/>
      <c r="D14">
        <v>46352</v>
      </c>
      <c r="F14" s="126">
        <v>11</v>
      </c>
      <c r="G14" s="127">
        <f t="shared" si="0"/>
        <v>44302.2222222222</v>
      </c>
      <c r="H14" s="127">
        <f>'光伏发电衰减表 输入数据'!V34</f>
        <v>42680.92455</v>
      </c>
      <c r="I14" s="133">
        <f t="shared" si="1"/>
        <v>1.03798647028658</v>
      </c>
      <c r="K14" s="127" t="s">
        <v>218</v>
      </c>
      <c r="L14" s="134">
        <v>0.74</v>
      </c>
    </row>
    <row r="15" customHeight="1" spans="1:12">
      <c r="A15" s="124" t="s">
        <v>25</v>
      </c>
      <c r="B15" s="121" t="s">
        <v>204</v>
      </c>
      <c r="C15" s="129"/>
      <c r="F15" s="126">
        <v>12</v>
      </c>
      <c r="G15" s="127">
        <f t="shared" si="0"/>
        <v>41201.7777777778</v>
      </c>
      <c r="H15" s="127">
        <f>'光伏发电衰减表 输入数据'!V35</f>
        <v>34167.038895</v>
      </c>
      <c r="I15" s="133">
        <f t="shared" si="1"/>
        <v>1.20589255347519</v>
      </c>
      <c r="K15" s="127" t="s">
        <v>219</v>
      </c>
      <c r="L15" s="134">
        <v>0.71</v>
      </c>
    </row>
    <row r="16" customHeight="1" spans="1:12">
      <c r="A16" s="128"/>
      <c r="B16" s="121" t="s">
        <v>207</v>
      </c>
      <c r="C16" s="129"/>
      <c r="F16" s="126" t="s">
        <v>34</v>
      </c>
      <c r="G16" s="127">
        <f>SUM(G4:G15)</f>
        <v>690894.222222222</v>
      </c>
      <c r="H16" s="127">
        <f>SUM(H4:H15)</f>
        <v>864834.100845</v>
      </c>
      <c r="I16" s="135">
        <f t="shared" si="1"/>
        <v>0.79887486114062</v>
      </c>
      <c r="K16" s="127" t="s">
        <v>220</v>
      </c>
      <c r="L16" s="134">
        <v>0.68</v>
      </c>
    </row>
    <row r="17" customHeight="1" spans="1:3">
      <c r="A17" s="130"/>
      <c r="B17" s="121" t="s">
        <v>208</v>
      </c>
      <c r="C17" s="129"/>
    </row>
    <row r="18" customHeight="1" spans="1:3">
      <c r="A18" s="124" t="s">
        <v>26</v>
      </c>
      <c r="B18" s="121" t="s">
        <v>204</v>
      </c>
      <c r="C18" s="129"/>
    </row>
    <row r="19" customHeight="1" spans="1:13">
      <c r="A19" s="128"/>
      <c r="B19" s="121" t="s">
        <v>207</v>
      </c>
      <c r="C19" s="129"/>
      <c r="F19" s="108" t="s">
        <v>221</v>
      </c>
      <c r="G19" s="121"/>
      <c r="H19" s="121"/>
      <c r="I19" s="121"/>
      <c r="K19" s="136" t="s">
        <v>222</v>
      </c>
      <c r="L19" s="127"/>
      <c r="M19" s="127"/>
    </row>
    <row r="20" customHeight="1" spans="1:13">
      <c r="A20" s="130"/>
      <c r="B20" s="121" t="s">
        <v>208</v>
      </c>
      <c r="C20" s="129"/>
      <c r="F20" s="126" t="s">
        <v>14</v>
      </c>
      <c r="G20" s="126" t="s">
        <v>205</v>
      </c>
      <c r="H20" s="126" t="s">
        <v>206</v>
      </c>
      <c r="I20" s="126" t="s">
        <v>57</v>
      </c>
      <c r="K20" s="127"/>
      <c r="L20" s="127"/>
      <c r="M20" s="127"/>
    </row>
    <row r="21" customHeight="1" spans="1:9">
      <c r="A21" s="124" t="s">
        <v>27</v>
      </c>
      <c r="B21" s="121" t="s">
        <v>204</v>
      </c>
      <c r="C21" s="129"/>
      <c r="F21" s="121">
        <v>1</v>
      </c>
      <c r="G21" s="127">
        <f>$L$22*$L$23*$L$24*31</f>
        <v>133920</v>
      </c>
      <c r="H21" s="127">
        <f>'光伏发电衰减表 输入数据'!V24</f>
        <v>38818.21581</v>
      </c>
      <c r="I21" s="133">
        <f>G21/H21</f>
        <v>3.44992672140023</v>
      </c>
    </row>
    <row r="22" customHeight="1" spans="1:12">
      <c r="A22" s="128"/>
      <c r="B22" s="121" t="s">
        <v>207</v>
      </c>
      <c r="C22" s="129"/>
      <c r="F22" s="121">
        <v>2</v>
      </c>
      <c r="G22" s="127">
        <f>$L$22*$L$23*$L$24*28</f>
        <v>120960</v>
      </c>
      <c r="H22" s="127">
        <f>'光伏发电衰减表 输入数据'!V25</f>
        <v>49334.5545</v>
      </c>
      <c r="I22" s="133">
        <f t="shared" ref="I22:I33" si="2">G22/H22</f>
        <v>2.45183120078646</v>
      </c>
      <c r="K22" s="127" t="s">
        <v>223</v>
      </c>
      <c r="L22" s="137">
        <v>600</v>
      </c>
    </row>
    <row r="23" customHeight="1" spans="1:12">
      <c r="A23" s="130"/>
      <c r="B23" s="121" t="s">
        <v>208</v>
      </c>
      <c r="C23" s="129"/>
      <c r="F23" s="121">
        <v>3</v>
      </c>
      <c r="G23" s="127">
        <f>$L$22*$L$23*$L$24*31</f>
        <v>133920</v>
      </c>
      <c r="H23" s="127">
        <f>'光伏发电衰减表 输入数据'!V26</f>
        <v>73871.193165</v>
      </c>
      <c r="I23" s="133">
        <f t="shared" si="2"/>
        <v>1.81288529753234</v>
      </c>
      <c r="K23" s="127" t="s">
        <v>224</v>
      </c>
      <c r="L23" s="138">
        <v>0.8</v>
      </c>
    </row>
    <row r="24" customHeight="1" spans="1:12">
      <c r="A24" s="124" t="s">
        <v>28</v>
      </c>
      <c r="B24" s="121" t="s">
        <v>204</v>
      </c>
      <c r="C24" s="129"/>
      <c r="F24" s="121">
        <v>4</v>
      </c>
      <c r="G24" s="127">
        <f>$L$22*$L$23*$L$24*30</f>
        <v>129600</v>
      </c>
      <c r="H24" s="127">
        <f>'光伏发电衰减表 输入数据'!V27</f>
        <v>87352.98165</v>
      </c>
      <c r="I24" s="133">
        <f t="shared" si="2"/>
        <v>1.4836356762185</v>
      </c>
      <c r="K24" s="127" t="s">
        <v>225</v>
      </c>
      <c r="L24" s="137">
        <v>9</v>
      </c>
    </row>
    <row r="25" customHeight="1" spans="1:9">
      <c r="A25" s="128"/>
      <c r="B25" s="121" t="s">
        <v>207</v>
      </c>
      <c r="C25" s="129"/>
      <c r="F25" s="121">
        <v>5</v>
      </c>
      <c r="G25" s="127">
        <f>$L$22*$L$23*$L$24*31</f>
        <v>133920</v>
      </c>
      <c r="H25" s="127">
        <f>'光伏发电衰减表 输入数据'!V28</f>
        <v>93734.640945</v>
      </c>
      <c r="I25" s="133">
        <f t="shared" si="2"/>
        <v>1.42871406611115</v>
      </c>
    </row>
    <row r="26" customHeight="1" spans="1:9">
      <c r="A26" s="130"/>
      <c r="B26" s="121" t="s">
        <v>208</v>
      </c>
      <c r="C26" s="129"/>
      <c r="F26" s="121">
        <v>6</v>
      </c>
      <c r="G26" s="127">
        <f>$L$22*$L$23*$L$24*30</f>
        <v>129600</v>
      </c>
      <c r="H26" s="127">
        <f>'光伏发电衰减表 输入数据'!V29</f>
        <v>86124.31245</v>
      </c>
      <c r="I26" s="133">
        <f t="shared" si="2"/>
        <v>1.50480156315024</v>
      </c>
    </row>
    <row r="27" customHeight="1" spans="1:9">
      <c r="A27" s="124" t="s">
        <v>29</v>
      </c>
      <c r="B27" s="121" t="s">
        <v>204</v>
      </c>
      <c r="C27" s="129"/>
      <c r="F27" s="121">
        <v>7</v>
      </c>
      <c r="G27" s="127">
        <f>$L$22*$L$23*$L$24*31</f>
        <v>133920</v>
      </c>
      <c r="H27" s="127">
        <f>'光伏发电衰减表 输入数据'!V30</f>
        <v>117551.380155</v>
      </c>
      <c r="I27" s="133">
        <f t="shared" si="2"/>
        <v>1.13924651351109</v>
      </c>
    </row>
    <row r="28" customHeight="1" spans="1:9">
      <c r="A28" s="128"/>
      <c r="B28" s="121" t="s">
        <v>207</v>
      </c>
      <c r="C28" s="129"/>
      <c r="F28" s="121">
        <v>8</v>
      </c>
      <c r="G28" s="127">
        <f>$L$22*$L$23*$L$24*31</f>
        <v>133920</v>
      </c>
      <c r="H28" s="127">
        <f>'光伏发电衰减表 输入数据'!V31</f>
        <v>113287.19391</v>
      </c>
      <c r="I28" s="133">
        <f t="shared" si="2"/>
        <v>1.18212831810797</v>
      </c>
    </row>
    <row r="29" customHeight="1" spans="1:9">
      <c r="A29" s="130"/>
      <c r="B29" s="121" t="s">
        <v>208</v>
      </c>
      <c r="C29" s="129"/>
      <c r="F29" s="121">
        <v>9</v>
      </c>
      <c r="G29" s="127">
        <f>$L$22*$L$23*$L$24*30</f>
        <v>129600</v>
      </c>
      <c r="H29" s="127">
        <f>'光伏发电衰减表 输入数据'!V32</f>
        <v>77665.1733</v>
      </c>
      <c r="I29" s="133">
        <f t="shared" si="2"/>
        <v>1.66870161351974</v>
      </c>
    </row>
    <row r="30" customHeight="1" spans="1:9">
      <c r="A30" s="124" t="s">
        <v>30</v>
      </c>
      <c r="B30" s="121" t="s">
        <v>204</v>
      </c>
      <c r="C30" s="129"/>
      <c r="F30" s="121">
        <v>10</v>
      </c>
      <c r="G30" s="127">
        <f>$L$22*$L$23*$L$24*31</f>
        <v>133920</v>
      </c>
      <c r="H30" s="127">
        <f>'光伏发电衰减表 输入数据'!V33</f>
        <v>50246.491515</v>
      </c>
      <c r="I30" s="133">
        <f t="shared" si="2"/>
        <v>2.66526071696013</v>
      </c>
    </row>
    <row r="31" customHeight="1" spans="1:9">
      <c r="A31" s="128"/>
      <c r="B31" s="121" t="s">
        <v>207</v>
      </c>
      <c r="C31" s="129"/>
      <c r="F31" s="121">
        <v>11</v>
      </c>
      <c r="G31" s="127">
        <f>$L$22*$L$23*$L$24*30</f>
        <v>129600</v>
      </c>
      <c r="H31" s="127">
        <f>'光伏发电衰减表 输入数据'!V34</f>
        <v>42680.92455</v>
      </c>
      <c r="I31" s="133">
        <f t="shared" si="2"/>
        <v>3.03648530031667</v>
      </c>
    </row>
    <row r="32" customHeight="1" spans="1:9">
      <c r="A32" s="130"/>
      <c r="B32" s="121" t="s">
        <v>208</v>
      </c>
      <c r="C32" s="129"/>
      <c r="F32" s="121">
        <v>12</v>
      </c>
      <c r="G32" s="127">
        <f>$L$22*$L$23*$L$24*31</f>
        <v>133920</v>
      </c>
      <c r="H32" s="127">
        <f>'光伏发电衰减表 输入数据'!V35</f>
        <v>34167.038895</v>
      </c>
      <c r="I32" s="133">
        <f t="shared" si="2"/>
        <v>3.91956705442209</v>
      </c>
    </row>
    <row r="33" customHeight="1" spans="1:9">
      <c r="A33" s="124" t="s">
        <v>31</v>
      </c>
      <c r="B33" s="121" t="s">
        <v>204</v>
      </c>
      <c r="C33" s="129"/>
      <c r="F33" s="108" t="s">
        <v>34</v>
      </c>
      <c r="G33" s="127">
        <f>SUM(G21:G32)</f>
        <v>1576800</v>
      </c>
      <c r="H33" s="127">
        <f>SUM(H21:H32)</f>
        <v>864834.100845</v>
      </c>
      <c r="I33" s="139">
        <f t="shared" si="2"/>
        <v>1.82323985427883</v>
      </c>
    </row>
    <row r="34" customHeight="1" spans="1:3">
      <c r="A34" s="128"/>
      <c r="B34" s="121" t="s">
        <v>207</v>
      </c>
      <c r="C34" s="129"/>
    </row>
    <row r="35" customHeight="1" spans="1:3">
      <c r="A35" s="130"/>
      <c r="B35" s="121" t="s">
        <v>208</v>
      </c>
      <c r="C35" s="129"/>
    </row>
    <row r="36" customHeight="1" spans="1:3">
      <c r="A36" s="124" t="s">
        <v>32</v>
      </c>
      <c r="B36" s="121" t="s">
        <v>204</v>
      </c>
      <c r="C36" s="129"/>
    </row>
    <row r="37" customHeight="1" spans="1:3">
      <c r="A37" s="128"/>
      <c r="B37" s="121" t="s">
        <v>207</v>
      </c>
      <c r="C37" s="129"/>
    </row>
    <row r="38" customHeight="1" spans="1:3">
      <c r="A38" s="130"/>
      <c r="B38" s="121" t="s">
        <v>208</v>
      </c>
      <c r="C38" s="129"/>
    </row>
  </sheetData>
  <mergeCells count="16">
    <mergeCell ref="B2:C2"/>
    <mergeCell ref="F2:I2"/>
    <mergeCell ref="F19:I19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K19:M20"/>
  </mergeCells>
  <pageMargins left="0.75" right="0.75" top="1" bottom="1" header="0.5" footer="0.5"/>
  <pageSetup paperSize="9" orientation="portrait"/>
  <headerFooter/>
  <ignoredErrors>
    <ignoredError sqref="G22 G24 G26 G29 G3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75"/>
  <sheetViews>
    <sheetView workbookViewId="0">
      <selection activeCell="H18" sqref="H18"/>
    </sheetView>
  </sheetViews>
  <sheetFormatPr defaultColWidth="15.625" defaultRowHeight="20.1" customHeight="1"/>
  <cols>
    <col min="2" max="2" width="11" customWidth="1"/>
    <col min="5" max="5" width="15.625" style="1"/>
    <col min="9" max="9" width="10.25" customWidth="1"/>
    <col min="10" max="10" width="17.25" customWidth="1"/>
    <col min="11" max="15" width="16.875" customWidth="1"/>
    <col min="16" max="16" width="17" customWidth="1"/>
    <col min="17" max="17" width="20.625" customWidth="1"/>
    <col min="18" max="18" width="15.625" customWidth="1"/>
    <col min="19" max="19" width="18.875" customWidth="1"/>
  </cols>
  <sheetData>
    <row r="2" ht="49.5" customHeight="1" spans="9:17">
      <c r="I2" s="103" t="s">
        <v>226</v>
      </c>
      <c r="J2" s="103"/>
      <c r="K2" s="103"/>
      <c r="L2" s="103"/>
      <c r="M2" s="103"/>
      <c r="N2" s="103"/>
      <c r="O2" s="103"/>
      <c r="P2" s="103"/>
      <c r="Q2" s="103"/>
    </row>
    <row r="3" ht="19.5" customHeight="1" spans="2:17">
      <c r="B3" s="33" t="s">
        <v>227</v>
      </c>
      <c r="C3" s="33"/>
      <c r="D3" s="33"/>
      <c r="E3" s="82"/>
      <c r="F3" s="33"/>
      <c r="G3" s="33"/>
      <c r="I3" s="33" t="s">
        <v>228</v>
      </c>
      <c r="J3" s="33"/>
      <c r="K3" s="33"/>
      <c r="L3" s="33"/>
      <c r="M3" s="33"/>
      <c r="N3" s="33"/>
      <c r="O3" s="33"/>
      <c r="P3" s="33"/>
      <c r="Q3" s="33"/>
    </row>
    <row r="4" customHeight="1" spans="2:17">
      <c r="B4" s="83" t="s">
        <v>70</v>
      </c>
      <c r="C4" s="83" t="s">
        <v>20</v>
      </c>
      <c r="D4" s="83" t="s">
        <v>229</v>
      </c>
      <c r="E4" s="84" t="s">
        <v>230</v>
      </c>
      <c r="F4" s="83" t="s">
        <v>80</v>
      </c>
      <c r="G4" s="84" t="s">
        <v>231</v>
      </c>
      <c r="I4" s="33" t="s">
        <v>70</v>
      </c>
      <c r="J4" s="33" t="s">
        <v>232</v>
      </c>
      <c r="K4" s="33" t="s">
        <v>233</v>
      </c>
      <c r="L4" s="33" t="s">
        <v>234</v>
      </c>
      <c r="M4" s="33" t="s">
        <v>235</v>
      </c>
      <c r="N4" s="33" t="s">
        <v>236</v>
      </c>
      <c r="O4" s="33" t="s">
        <v>237</v>
      </c>
      <c r="P4" s="33" t="s">
        <v>238</v>
      </c>
      <c r="Q4" s="33" t="s">
        <v>239</v>
      </c>
    </row>
    <row r="5" customHeight="1" spans="2:20">
      <c r="B5" s="85">
        <v>0</v>
      </c>
      <c r="C5" s="86">
        <v>0</v>
      </c>
      <c r="D5" s="86">
        <v>0</v>
      </c>
      <c r="E5" s="87">
        <f>基础数据!H7</f>
        <v>2000000</v>
      </c>
      <c r="F5" s="88">
        <f>-E5</f>
        <v>-2000000</v>
      </c>
      <c r="G5" s="88">
        <f>F5</f>
        <v>-2000000</v>
      </c>
      <c r="I5" s="85">
        <v>0</v>
      </c>
      <c r="J5" s="81">
        <f>IF(G5&lt;0,G5,F5)</f>
        <v>-2000000</v>
      </c>
      <c r="K5" s="81">
        <f t="shared" ref="K5:K12" si="0">IF(J5&lt;0,0,J5*0.1)</f>
        <v>0</v>
      </c>
      <c r="L5" s="81">
        <f>K5</f>
        <v>0</v>
      </c>
      <c r="M5" s="81">
        <f>$T$5*0.5</f>
        <v>125000</v>
      </c>
      <c r="N5" s="81">
        <f>IF(L5&lt;$M$5,K5,0)</f>
        <v>0</v>
      </c>
      <c r="O5" s="81">
        <f>IF(N5&gt;=0,N5,0)</f>
        <v>0</v>
      </c>
      <c r="P5" s="81">
        <f>IF(J5&lt;0,0,J5-O5)</f>
        <v>0</v>
      </c>
      <c r="Q5" s="81">
        <f t="shared" ref="Q5:Q30" si="1">P5*$T$6</f>
        <v>0</v>
      </c>
      <c r="S5" s="108" t="s">
        <v>240</v>
      </c>
      <c r="T5" s="109">
        <v>250000</v>
      </c>
    </row>
    <row r="6" customHeight="1" spans="2:20">
      <c r="B6" s="85">
        <v>1</v>
      </c>
      <c r="C6" s="89">
        <f>'光伏发电衰减表 输入数据'!D6</f>
        <v>864834.100845</v>
      </c>
      <c r="D6" s="89">
        <f>'光伏发电衰减表 输入数据'!G6</f>
        <v>587271.724126817</v>
      </c>
      <c r="E6" s="87">
        <v>0</v>
      </c>
      <c r="F6" s="90">
        <f>'光伏发电衰减表 输入数据'!O6</f>
        <v>431728.659129282</v>
      </c>
      <c r="G6" s="88">
        <f>G5+F6</f>
        <v>-1568271.34087072</v>
      </c>
      <c r="I6" s="85">
        <v>1</v>
      </c>
      <c r="J6" s="81">
        <f>税金参数!P4-税金参数!Q4</f>
        <v>64756.1820650622</v>
      </c>
      <c r="K6" s="81">
        <f t="shared" si="0"/>
        <v>6475.61820650622</v>
      </c>
      <c r="L6" s="81">
        <f>L5+K6</f>
        <v>6475.61820650622</v>
      </c>
      <c r="M6" s="81"/>
      <c r="N6" s="81">
        <f>IF(L6&lt;$M$5,K6,$M$5-L5)</f>
        <v>6475.61820650622</v>
      </c>
      <c r="O6" s="81">
        <f t="shared" ref="O6:O30" si="2">IF(N6&gt;=0,N6,0)</f>
        <v>6475.61820650622</v>
      </c>
      <c r="P6" s="81">
        <f t="shared" ref="P6:P30" si="3">IF(J6&lt;0,0,J6-O6)</f>
        <v>58280.563858556</v>
      </c>
      <c r="Q6" s="81">
        <f t="shared" si="1"/>
        <v>11656.1127717112</v>
      </c>
      <c r="S6" s="108" t="s">
        <v>241</v>
      </c>
      <c r="T6" s="110">
        <v>0.2</v>
      </c>
    </row>
    <row r="7" customHeight="1" spans="2:17">
      <c r="B7" s="85">
        <v>2</v>
      </c>
      <c r="C7" s="89">
        <f>'光伏发电衰减表 输入数据'!D7</f>
        <v>861339.821649667</v>
      </c>
      <c r="D7" s="89">
        <f>'光伏发电衰减表 输入数据'!G7</f>
        <v>584898.90907984</v>
      </c>
      <c r="E7" s="87">
        <v>0</v>
      </c>
      <c r="F7" s="90">
        <f>'光伏发电衰减表 输入数据'!O7</f>
        <v>435398.071347846</v>
      </c>
      <c r="G7" s="88">
        <f>F7+G6</f>
        <v>-1132873.26952287</v>
      </c>
      <c r="I7" s="85">
        <v>2</v>
      </c>
      <c r="J7" s="81">
        <f>税金参数!P5-税金参数!Q5</f>
        <v>141820.08969647</v>
      </c>
      <c r="K7" s="81">
        <f t="shared" si="0"/>
        <v>14182.008969647</v>
      </c>
      <c r="L7" s="81">
        <f>L6+K7</f>
        <v>20657.6271761532</v>
      </c>
      <c r="M7" s="81"/>
      <c r="N7" s="81">
        <f t="shared" ref="N7:N30" si="4">IF(L7&lt;$M$5,K7,$M$5-L6)</f>
        <v>14182.008969647</v>
      </c>
      <c r="O7" s="81">
        <f t="shared" si="2"/>
        <v>14182.008969647</v>
      </c>
      <c r="P7" s="81">
        <f t="shared" si="3"/>
        <v>127638.080726823</v>
      </c>
      <c r="Q7" s="81">
        <f t="shared" si="1"/>
        <v>25527.6161453645</v>
      </c>
    </row>
    <row r="8" customHeight="1" spans="2:17">
      <c r="B8" s="85">
        <v>3</v>
      </c>
      <c r="C8" s="89">
        <f>'光伏发电衰减表 输入数据'!D8</f>
        <v>857845.542454333</v>
      </c>
      <c r="D8" s="89">
        <f>'光伏发电衰减表 输入数据'!G8</f>
        <v>582526.094032863</v>
      </c>
      <c r="E8" s="87">
        <v>0</v>
      </c>
      <c r="F8" s="90">
        <f>'光伏发电衰减表 输入数据'!O8</f>
        <v>383519.906099034</v>
      </c>
      <c r="G8" s="88">
        <f t="shared" ref="G8:G30" si="5">F8+G7</f>
        <v>-749353.363423837</v>
      </c>
      <c r="I8" s="85">
        <v>3</v>
      </c>
      <c r="J8" s="81">
        <f>税金参数!P6-税金参数!Q6</f>
        <v>204635.890343676</v>
      </c>
      <c r="K8" s="81">
        <f t="shared" si="0"/>
        <v>20463.5890343676</v>
      </c>
      <c r="L8" s="81">
        <f>L7+K8</f>
        <v>41121.2162105208</v>
      </c>
      <c r="M8" s="81"/>
      <c r="N8" s="81">
        <f t="shared" si="4"/>
        <v>20463.5890343676</v>
      </c>
      <c r="O8" s="81">
        <f t="shared" si="2"/>
        <v>20463.5890343676</v>
      </c>
      <c r="P8" s="81">
        <f t="shared" si="3"/>
        <v>184172.301309308</v>
      </c>
      <c r="Q8" s="81">
        <f t="shared" si="1"/>
        <v>36834.4602618617</v>
      </c>
    </row>
    <row r="9" customHeight="1" spans="2:23">
      <c r="B9" s="91">
        <v>4</v>
      </c>
      <c r="C9" s="92">
        <f>'光伏发电衰减表 输入数据'!D9</f>
        <v>854351.263259</v>
      </c>
      <c r="D9" s="92">
        <f>'光伏发电衰减表 输入数据'!G9</f>
        <v>580153.278985886</v>
      </c>
      <c r="E9" s="93">
        <v>0</v>
      </c>
      <c r="F9" s="94">
        <f>'光伏发电衰减表 输入数据'!O9</f>
        <v>314913.394868003</v>
      </c>
      <c r="G9" s="95">
        <f t="shared" si="5"/>
        <v>-434439.968555835</v>
      </c>
      <c r="I9" s="85">
        <v>4</v>
      </c>
      <c r="J9" s="81">
        <f>税金参数!P7-税金参数!Q7</f>
        <v>256090.252346198</v>
      </c>
      <c r="K9" s="81">
        <f t="shared" si="0"/>
        <v>25609.0252346198</v>
      </c>
      <c r="L9" s="104">
        <f>L8+K9</f>
        <v>66730.2414451406</v>
      </c>
      <c r="M9" s="104"/>
      <c r="N9" s="81">
        <f t="shared" si="4"/>
        <v>25609.0252346198</v>
      </c>
      <c r="O9" s="81">
        <f t="shared" si="2"/>
        <v>25609.0252346198</v>
      </c>
      <c r="P9" s="81">
        <f t="shared" si="3"/>
        <v>230481.227111578</v>
      </c>
      <c r="Q9" s="81">
        <f t="shared" si="1"/>
        <v>46096.2454223156</v>
      </c>
      <c r="S9" s="111" t="s">
        <v>242</v>
      </c>
      <c r="T9" s="112"/>
      <c r="U9" s="112"/>
      <c r="V9" s="112"/>
      <c r="W9" s="113"/>
    </row>
    <row r="10" customHeight="1" spans="2:23">
      <c r="B10" s="91">
        <v>5</v>
      </c>
      <c r="C10" s="92">
        <f>'光伏发电衰减表 输入数据'!D10</f>
        <v>850856.984063667</v>
      </c>
      <c r="D10" s="92">
        <f>'光伏发电衰减表 输入数据'!G10</f>
        <v>577780.463938909</v>
      </c>
      <c r="E10" s="93">
        <v>0</v>
      </c>
      <c r="F10" s="94">
        <f>'光伏发电衰减表 输入数据'!O10</f>
        <v>384343.503823288</v>
      </c>
      <c r="G10" s="95">
        <f t="shared" si="5"/>
        <v>-50096.4647325466</v>
      </c>
      <c r="I10" s="85">
        <v>5</v>
      </c>
      <c r="J10" s="81">
        <f>税金参数!P8-税金参数!Q8</f>
        <v>306811.50743101</v>
      </c>
      <c r="K10" s="81">
        <f t="shared" si="0"/>
        <v>30681.150743101</v>
      </c>
      <c r="L10" s="104">
        <f>L9+K10</f>
        <v>97411.3921882415</v>
      </c>
      <c r="M10" s="104"/>
      <c r="N10" s="81">
        <f t="shared" si="4"/>
        <v>30681.150743101</v>
      </c>
      <c r="O10" s="81">
        <f t="shared" si="2"/>
        <v>30681.150743101</v>
      </c>
      <c r="P10" s="81">
        <f t="shared" si="3"/>
        <v>276130.356687909</v>
      </c>
      <c r="Q10" s="81">
        <f t="shared" si="1"/>
        <v>55226.0713375818</v>
      </c>
      <c r="S10" s="114"/>
      <c r="T10" s="115"/>
      <c r="U10" s="115"/>
      <c r="V10" s="115"/>
      <c r="W10" s="116"/>
    </row>
    <row r="11" customHeight="1" spans="2:23">
      <c r="B11" s="91">
        <v>6</v>
      </c>
      <c r="C11" s="92">
        <f>'光伏发电衰减表 输入数据'!D11</f>
        <v>847362.704868333</v>
      </c>
      <c r="D11" s="92">
        <f>'光伏发电衰减表 输入数据'!G11</f>
        <v>575407.648891932</v>
      </c>
      <c r="E11" s="93">
        <v>0</v>
      </c>
      <c r="F11" s="94">
        <f>'光伏发电衰减表 输入数据'!O11</f>
        <v>395847.939247839</v>
      </c>
      <c r="G11" s="95">
        <f t="shared" si="5"/>
        <v>345751.474515292</v>
      </c>
      <c r="H11">
        <f>F13/12</f>
        <v>35209.9145634999</v>
      </c>
      <c r="I11" s="85">
        <v>6</v>
      </c>
      <c r="J11" s="81">
        <f>税金参数!P9-税金参数!Q9</f>
        <v>348069.862220554</v>
      </c>
      <c r="K11" s="81">
        <f t="shared" si="0"/>
        <v>34806.9862220554</v>
      </c>
      <c r="L11" s="81">
        <f t="shared" ref="L10:L30" si="6">L10+K11</f>
        <v>132218.378410297</v>
      </c>
      <c r="M11" s="81"/>
      <c r="N11" s="81">
        <f t="shared" si="4"/>
        <v>27588.6078117585</v>
      </c>
      <c r="O11" s="81">
        <f t="shared" si="2"/>
        <v>27588.6078117585</v>
      </c>
      <c r="P11" s="81">
        <f t="shared" si="3"/>
        <v>320481.254408796</v>
      </c>
      <c r="Q11" s="81">
        <f t="shared" si="1"/>
        <v>64096.2508817592</v>
      </c>
      <c r="S11" s="114"/>
      <c r="T11" s="115"/>
      <c r="U11" s="115"/>
      <c r="V11" s="115"/>
      <c r="W11" s="116"/>
    </row>
    <row r="12" customHeight="1" spans="2:23">
      <c r="B12" s="91">
        <v>7</v>
      </c>
      <c r="C12" s="92">
        <f>'光伏发电衰减表 输入数据'!D12</f>
        <v>843868.425673</v>
      </c>
      <c r="D12" s="92">
        <f>'光伏发电衰减表 输入数据'!G12</f>
        <v>573034.833844955</v>
      </c>
      <c r="E12" s="93">
        <v>0</v>
      </c>
      <c r="F12" s="94">
        <f>'光伏发电衰减表 输入数据'!O12</f>
        <v>408574.198615675</v>
      </c>
      <c r="G12" s="95">
        <f t="shared" si="5"/>
        <v>754325.673130967</v>
      </c>
      <c r="H12">
        <f>G12/H11</f>
        <v>21.4236723514499</v>
      </c>
      <c r="I12" s="85">
        <v>7</v>
      </c>
      <c r="J12" s="81">
        <f>税金参数!P10-税金参数!Q10</f>
        <v>384537.563889164</v>
      </c>
      <c r="K12" s="81">
        <f t="shared" si="0"/>
        <v>38453.7563889164</v>
      </c>
      <c r="L12" s="81">
        <f t="shared" si="6"/>
        <v>170672.134799213</v>
      </c>
      <c r="M12" s="81"/>
      <c r="N12" s="81">
        <f t="shared" si="4"/>
        <v>-7218.37841029698</v>
      </c>
      <c r="O12" s="81">
        <f t="shared" si="2"/>
        <v>0</v>
      </c>
      <c r="P12" s="81">
        <f t="shared" si="3"/>
        <v>384537.563889164</v>
      </c>
      <c r="Q12" s="81">
        <f t="shared" si="1"/>
        <v>76907.5127778328</v>
      </c>
      <c r="S12" s="114"/>
      <c r="T12" s="115"/>
      <c r="U12" s="115"/>
      <c r="V12" s="115"/>
      <c r="W12" s="116"/>
    </row>
    <row r="13" customHeight="1" spans="2:23">
      <c r="B13" s="96">
        <v>8</v>
      </c>
      <c r="C13" s="97">
        <f>'光伏发电衰减表 输入数据'!D13</f>
        <v>840374.146477667</v>
      </c>
      <c r="D13" s="97">
        <f>'光伏发电衰减表 输入数据'!G13</f>
        <v>570662.018797978</v>
      </c>
      <c r="E13" s="98">
        <v>0</v>
      </c>
      <c r="F13" s="99">
        <f>'光伏发电衰减表 输入数据'!O13</f>
        <v>422518.974761999</v>
      </c>
      <c r="G13" s="100">
        <f t="shared" si="5"/>
        <v>1176844.64789297</v>
      </c>
      <c r="H13" s="101">
        <f>7*12-H12</f>
        <v>62.5763276485501</v>
      </c>
      <c r="I13" s="85">
        <v>8</v>
      </c>
      <c r="J13" s="81">
        <f>税金参数!P11-税金参数!Q11</f>
        <v>417413.800684885</v>
      </c>
      <c r="K13" s="81">
        <f t="shared" ref="K13:K30" si="7">IF(J13&lt;0,0,J13*0.1)</f>
        <v>41741.3800684885</v>
      </c>
      <c r="L13" s="81">
        <f t="shared" si="6"/>
        <v>212413.514867702</v>
      </c>
      <c r="M13" s="81"/>
      <c r="N13" s="81">
        <f t="shared" si="4"/>
        <v>-45672.1347992134</v>
      </c>
      <c r="O13" s="81">
        <f t="shared" si="2"/>
        <v>0</v>
      </c>
      <c r="P13" s="81">
        <f t="shared" si="3"/>
        <v>417413.800684885</v>
      </c>
      <c r="Q13" s="81">
        <f t="shared" si="1"/>
        <v>83482.7601369771</v>
      </c>
      <c r="S13" s="114"/>
      <c r="T13" s="115"/>
      <c r="U13" s="115"/>
      <c r="V13" s="115"/>
      <c r="W13" s="116"/>
    </row>
    <row r="14" customHeight="1" spans="2:23">
      <c r="B14" s="91">
        <v>9</v>
      </c>
      <c r="C14" s="92">
        <f>'光伏发电衰减表 输入数据'!D14</f>
        <v>836879.867282333</v>
      </c>
      <c r="D14" s="92">
        <f>'光伏发电衰减表 输入数据'!G14</f>
        <v>568289.203751001</v>
      </c>
      <c r="E14" s="93">
        <v>0</v>
      </c>
      <c r="F14" s="94">
        <f>'光伏发电衰减表 输入数据'!O14</f>
        <v>434279.525626583</v>
      </c>
      <c r="G14" s="95">
        <f t="shared" si="5"/>
        <v>1611124.17351955</v>
      </c>
      <c r="I14" s="85">
        <v>9</v>
      </c>
      <c r="J14" s="81">
        <f>税金参数!P12-税金参数!Q12</f>
        <v>351906.179171345</v>
      </c>
      <c r="K14" s="81">
        <f t="shared" si="7"/>
        <v>35190.6179171345</v>
      </c>
      <c r="L14" s="81">
        <f t="shared" si="6"/>
        <v>247604.132784836</v>
      </c>
      <c r="M14" s="81"/>
      <c r="N14" s="81">
        <f t="shared" si="4"/>
        <v>-87413.5148677019</v>
      </c>
      <c r="O14" s="81">
        <f t="shared" si="2"/>
        <v>0</v>
      </c>
      <c r="P14" s="81">
        <f t="shared" si="3"/>
        <v>351906.179171345</v>
      </c>
      <c r="Q14" s="81">
        <f t="shared" si="1"/>
        <v>70381.235834269</v>
      </c>
      <c r="S14" s="114"/>
      <c r="T14" s="115"/>
      <c r="U14" s="115"/>
      <c r="V14" s="115"/>
      <c r="W14" s="116"/>
    </row>
    <row r="15" customHeight="1" spans="2:23">
      <c r="B15" s="91">
        <v>10</v>
      </c>
      <c r="C15" s="92">
        <f>'光伏发电衰减表 输入数据'!D15</f>
        <v>833385.588087</v>
      </c>
      <c r="D15" s="92">
        <f>'光伏发电衰减表 输入数据'!G15</f>
        <v>565916.388704024</v>
      </c>
      <c r="E15" s="93">
        <v>0</v>
      </c>
      <c r="F15" s="94">
        <f>'光伏发电衰减表 输入数据'!O15</f>
        <v>432351.39984756</v>
      </c>
      <c r="G15" s="95">
        <f t="shared" si="5"/>
        <v>2043475.57336711</v>
      </c>
      <c r="I15" s="85">
        <v>10</v>
      </c>
      <c r="J15" s="81">
        <f>税金参数!P13-税金参数!Q13</f>
        <v>349669.587436215</v>
      </c>
      <c r="K15" s="81">
        <f t="shared" si="7"/>
        <v>34966.9587436215</v>
      </c>
      <c r="L15" s="81">
        <f t="shared" si="6"/>
        <v>282571.091528458</v>
      </c>
      <c r="M15" s="81"/>
      <c r="N15" s="81">
        <f t="shared" si="4"/>
        <v>-122604.132784836</v>
      </c>
      <c r="O15" s="81">
        <f t="shared" si="2"/>
        <v>0</v>
      </c>
      <c r="P15" s="81">
        <f t="shared" si="3"/>
        <v>349669.587436215</v>
      </c>
      <c r="Q15" s="81">
        <f t="shared" si="1"/>
        <v>69933.9174872429</v>
      </c>
      <c r="S15" s="114"/>
      <c r="T15" s="115"/>
      <c r="U15" s="115"/>
      <c r="V15" s="115"/>
      <c r="W15" s="116"/>
    </row>
    <row r="16" customHeight="1" spans="2:23">
      <c r="B16" s="85">
        <v>11</v>
      </c>
      <c r="C16" s="89">
        <f>'光伏发电衰减表 输入数据'!D16</f>
        <v>829891.308891667</v>
      </c>
      <c r="D16" s="89">
        <f>'光伏发电衰减表 输入数据'!G16</f>
        <v>563543.573657047</v>
      </c>
      <c r="E16" s="87">
        <v>0</v>
      </c>
      <c r="F16" s="90">
        <f>'光伏发电衰减表 输入数据'!O16</f>
        <v>422727.303426335</v>
      </c>
      <c r="G16" s="88">
        <f t="shared" si="5"/>
        <v>2466202.87679345</v>
      </c>
      <c r="I16" s="85">
        <v>11</v>
      </c>
      <c r="J16" s="81">
        <f>税金参数!P14-税金参数!Q14</f>
        <v>493656.437902919</v>
      </c>
      <c r="K16" s="81">
        <f t="shared" si="7"/>
        <v>49365.6437902919</v>
      </c>
      <c r="L16" s="81">
        <f t="shared" si="6"/>
        <v>331936.73531875</v>
      </c>
      <c r="M16" s="81"/>
      <c r="N16" s="81">
        <f t="shared" si="4"/>
        <v>-157571.091528458</v>
      </c>
      <c r="O16" s="81">
        <f t="shared" si="2"/>
        <v>0</v>
      </c>
      <c r="P16" s="81">
        <f t="shared" si="3"/>
        <v>493656.437902919</v>
      </c>
      <c r="Q16" s="81">
        <f t="shared" si="1"/>
        <v>98731.2875805839</v>
      </c>
      <c r="S16" s="114"/>
      <c r="T16" s="115"/>
      <c r="U16" s="115"/>
      <c r="V16" s="115"/>
      <c r="W16" s="116"/>
    </row>
    <row r="17" customHeight="1" spans="2:23">
      <c r="B17" s="85">
        <v>12</v>
      </c>
      <c r="C17" s="89">
        <f>'光伏发电衰减表 输入数据'!D17</f>
        <v>826397.029696333</v>
      </c>
      <c r="D17" s="89">
        <f>'光伏发电衰减表 输入数据'!G17</f>
        <v>561170.75861007</v>
      </c>
      <c r="E17" s="87">
        <v>0</v>
      </c>
      <c r="F17" s="90">
        <f>'光伏发电衰减表 输入数据'!O17</f>
        <v>420799.177647312</v>
      </c>
      <c r="G17" s="88">
        <f t="shared" si="5"/>
        <v>2887002.05444076</v>
      </c>
      <c r="I17" s="85">
        <v>12</v>
      </c>
      <c r="J17" s="81">
        <f>税金参数!P15-税金参数!Q15</f>
        <v>491419.846167789</v>
      </c>
      <c r="K17" s="81">
        <f t="shared" si="7"/>
        <v>49141.9846167789</v>
      </c>
      <c r="L17" s="81">
        <f t="shared" si="6"/>
        <v>381078.719935529</v>
      </c>
      <c r="M17" s="81"/>
      <c r="N17" s="81">
        <f t="shared" si="4"/>
        <v>-206936.73531875</v>
      </c>
      <c r="O17" s="81">
        <f t="shared" si="2"/>
        <v>0</v>
      </c>
      <c r="P17" s="81">
        <f t="shared" si="3"/>
        <v>491419.846167789</v>
      </c>
      <c r="Q17" s="81">
        <f t="shared" si="1"/>
        <v>98283.9692335579</v>
      </c>
      <c r="S17" s="114"/>
      <c r="T17" s="115"/>
      <c r="U17" s="115"/>
      <c r="V17" s="115"/>
      <c r="W17" s="116"/>
    </row>
    <row r="18" customHeight="1" spans="2:23">
      <c r="B18" s="85">
        <v>13</v>
      </c>
      <c r="C18" s="89">
        <f>'光伏发电衰减表 输入数据'!D18</f>
        <v>822902.750501</v>
      </c>
      <c r="D18" s="89">
        <f>'光伏发电衰减表 输入数据'!G18</f>
        <v>558797.943563092</v>
      </c>
      <c r="E18" s="87">
        <v>0</v>
      </c>
      <c r="F18" s="90">
        <f>'光伏发电衰减表 输入数据'!O18</f>
        <v>418871.051868289</v>
      </c>
      <c r="G18" s="88">
        <f t="shared" si="5"/>
        <v>3305873.10630905</v>
      </c>
      <c r="I18" s="85">
        <v>13</v>
      </c>
      <c r="J18" s="81">
        <f>税金参数!P16-税金参数!Q16</f>
        <v>489183.254432659</v>
      </c>
      <c r="K18" s="81">
        <f t="shared" si="7"/>
        <v>48918.3254432659</v>
      </c>
      <c r="L18" s="81">
        <f t="shared" si="6"/>
        <v>429997.045378795</v>
      </c>
      <c r="M18" s="81"/>
      <c r="N18" s="81">
        <f t="shared" si="4"/>
        <v>-256078.719935529</v>
      </c>
      <c r="O18" s="81">
        <f t="shared" si="2"/>
        <v>0</v>
      </c>
      <c r="P18" s="81">
        <f t="shared" si="3"/>
        <v>489183.254432659</v>
      </c>
      <c r="Q18" s="81">
        <f t="shared" si="1"/>
        <v>97836.6508865319</v>
      </c>
      <c r="S18" s="114"/>
      <c r="T18" s="115"/>
      <c r="U18" s="115"/>
      <c r="V18" s="115"/>
      <c r="W18" s="116"/>
    </row>
    <row r="19" customHeight="1" spans="2:23">
      <c r="B19" s="85">
        <v>14</v>
      </c>
      <c r="C19" s="89">
        <f>'光伏发电衰减表 输入数据'!D19</f>
        <v>819408.471305667</v>
      </c>
      <c r="D19" s="89">
        <f>'光伏发电衰减表 输入数据'!G19</f>
        <v>556425.128516116</v>
      </c>
      <c r="E19" s="87">
        <v>0</v>
      </c>
      <c r="F19" s="90">
        <f>'光伏发电衰减表 输入数据'!O19</f>
        <v>416942.926089266</v>
      </c>
      <c r="G19" s="88">
        <f t="shared" si="5"/>
        <v>3722816.03239831</v>
      </c>
      <c r="I19" s="85">
        <v>14</v>
      </c>
      <c r="J19" s="81">
        <f>税金参数!P17-税金参数!Q17</f>
        <v>486946.662697529</v>
      </c>
      <c r="K19" s="81">
        <f t="shared" si="7"/>
        <v>48694.6662697529</v>
      </c>
      <c r="L19" s="81">
        <f t="shared" si="6"/>
        <v>478691.711648548</v>
      </c>
      <c r="M19" s="81"/>
      <c r="N19" s="81">
        <f t="shared" si="4"/>
        <v>-304997.045378795</v>
      </c>
      <c r="O19" s="81">
        <f t="shared" si="2"/>
        <v>0</v>
      </c>
      <c r="P19" s="81">
        <f t="shared" si="3"/>
        <v>486946.662697529</v>
      </c>
      <c r="Q19" s="81">
        <f t="shared" si="1"/>
        <v>97389.3325395058</v>
      </c>
      <c r="S19" s="117"/>
      <c r="T19" s="118"/>
      <c r="U19" s="118"/>
      <c r="V19" s="118"/>
      <c r="W19" s="119"/>
    </row>
    <row r="20" customHeight="1" spans="2:17">
      <c r="B20" s="85">
        <v>15</v>
      </c>
      <c r="C20" s="89">
        <f>'光伏发电衰减表 输入数据'!D20</f>
        <v>815914.192110333</v>
      </c>
      <c r="D20" s="89">
        <f>'光伏发电衰减表 输入数据'!G20</f>
        <v>554052.313469138</v>
      </c>
      <c r="E20" s="87">
        <v>0</v>
      </c>
      <c r="F20" s="90">
        <f>'光伏发电衰减表 输入数据'!O20</f>
        <v>415014.800310243</v>
      </c>
      <c r="G20" s="88">
        <f t="shared" si="5"/>
        <v>4137830.83270856</v>
      </c>
      <c r="I20" s="85">
        <v>15</v>
      </c>
      <c r="J20" s="81">
        <f>税金参数!P18-税金参数!Q18</f>
        <v>484710.070962399</v>
      </c>
      <c r="K20" s="81">
        <f t="shared" si="7"/>
        <v>48471.0070962399</v>
      </c>
      <c r="L20" s="81">
        <f t="shared" si="6"/>
        <v>527162.718744788</v>
      </c>
      <c r="M20" s="81"/>
      <c r="N20" s="81">
        <f t="shared" si="4"/>
        <v>-353691.711648548</v>
      </c>
      <c r="O20" s="81">
        <f t="shared" si="2"/>
        <v>0</v>
      </c>
      <c r="P20" s="81">
        <f t="shared" si="3"/>
        <v>484710.070962399</v>
      </c>
      <c r="Q20" s="81">
        <f t="shared" si="1"/>
        <v>96942.0141924798</v>
      </c>
    </row>
    <row r="21" customHeight="1" spans="2:17">
      <c r="B21" s="85">
        <v>16</v>
      </c>
      <c r="C21" s="89">
        <f>'光伏发电衰减表 输入数据'!D21</f>
        <v>812419.912915</v>
      </c>
      <c r="D21" s="89">
        <f>'光伏发电衰减表 输入数据'!G21</f>
        <v>551679.498422161</v>
      </c>
      <c r="E21" s="87">
        <v>0</v>
      </c>
      <c r="F21" s="90">
        <f>'光伏发电衰减表 输入数据'!O21</f>
        <v>413086.67453122</v>
      </c>
      <c r="G21" s="88">
        <f t="shared" si="5"/>
        <v>4550917.50723978</v>
      </c>
      <c r="I21" s="85">
        <v>16</v>
      </c>
      <c r="J21" s="81">
        <f>税金参数!P19-税金参数!Q19</f>
        <v>482473.479227269</v>
      </c>
      <c r="K21" s="81">
        <f t="shared" si="7"/>
        <v>48247.3479227269</v>
      </c>
      <c r="L21" s="81">
        <f t="shared" si="6"/>
        <v>575410.066667514</v>
      </c>
      <c r="M21" s="81"/>
      <c r="N21" s="81">
        <f t="shared" si="4"/>
        <v>-402162.718744788</v>
      </c>
      <c r="O21" s="81">
        <f t="shared" si="2"/>
        <v>0</v>
      </c>
      <c r="P21" s="81">
        <f t="shared" si="3"/>
        <v>482473.479227269</v>
      </c>
      <c r="Q21" s="81">
        <f t="shared" si="1"/>
        <v>96494.6958454538</v>
      </c>
    </row>
    <row r="22" customHeight="1" spans="2:17">
      <c r="B22" s="85">
        <v>17</v>
      </c>
      <c r="C22" s="89">
        <f>'光伏发电衰减表 输入数据'!D22</f>
        <v>808925.633719667</v>
      </c>
      <c r="D22" s="89">
        <f>'光伏发电衰减表 输入数据'!G22</f>
        <v>549306.683375184</v>
      </c>
      <c r="E22" s="87">
        <v>0</v>
      </c>
      <c r="F22" s="90">
        <f>'光伏发电衰减表 输入数据'!O22</f>
        <v>411158.548752197</v>
      </c>
      <c r="G22" s="88">
        <f t="shared" si="5"/>
        <v>4962076.05599197</v>
      </c>
      <c r="I22" s="85">
        <v>17</v>
      </c>
      <c r="J22" s="81">
        <f>税金参数!P20-税金参数!Q20</f>
        <v>480236.887492139</v>
      </c>
      <c r="K22" s="81">
        <f t="shared" si="7"/>
        <v>48023.6887492139</v>
      </c>
      <c r="L22" s="81">
        <f t="shared" si="6"/>
        <v>623433.755416728</v>
      </c>
      <c r="M22" s="81"/>
      <c r="N22" s="81">
        <f t="shared" si="4"/>
        <v>-450410.066667514</v>
      </c>
      <c r="O22" s="81">
        <f t="shared" si="2"/>
        <v>0</v>
      </c>
      <c r="P22" s="81">
        <f t="shared" si="3"/>
        <v>480236.887492139</v>
      </c>
      <c r="Q22" s="81">
        <f t="shared" si="1"/>
        <v>96047.3774984278</v>
      </c>
    </row>
    <row r="23" customHeight="1" spans="2:17">
      <c r="B23" s="85">
        <v>18</v>
      </c>
      <c r="C23" s="89">
        <f>'光伏发电衰减表 输入数据'!D23</f>
        <v>805431.354524333</v>
      </c>
      <c r="D23" s="89">
        <f>'光伏发电衰减表 输入数据'!G23</f>
        <v>546933.868328207</v>
      </c>
      <c r="E23" s="87">
        <v>0</v>
      </c>
      <c r="F23" s="90">
        <f>'光伏发电衰减表 输入数据'!O23</f>
        <v>409230.422973174</v>
      </c>
      <c r="G23" s="88">
        <f t="shared" si="5"/>
        <v>5371306.47896515</v>
      </c>
      <c r="I23" s="85">
        <v>18</v>
      </c>
      <c r="J23" s="81">
        <f>税金参数!P21-税金参数!Q21</f>
        <v>478000.295757009</v>
      </c>
      <c r="K23" s="81">
        <f t="shared" si="7"/>
        <v>47800.0295757009</v>
      </c>
      <c r="L23" s="81">
        <f t="shared" si="6"/>
        <v>671233.784992429</v>
      </c>
      <c r="M23" s="81"/>
      <c r="N23" s="81">
        <f t="shared" si="4"/>
        <v>-498433.755416728</v>
      </c>
      <c r="O23" s="81">
        <f t="shared" si="2"/>
        <v>0</v>
      </c>
      <c r="P23" s="81">
        <f t="shared" si="3"/>
        <v>478000.295757009</v>
      </c>
      <c r="Q23" s="81">
        <f t="shared" si="1"/>
        <v>95600.0591514018</v>
      </c>
    </row>
    <row r="24" customHeight="1" spans="2:17">
      <c r="B24" s="85">
        <v>19</v>
      </c>
      <c r="C24" s="89">
        <f>'光伏发电衰减表 输入数据'!D24</f>
        <v>801937.075329</v>
      </c>
      <c r="D24" s="89">
        <f>'光伏发电衰减表 输入数据'!G24</f>
        <v>544561.05328123</v>
      </c>
      <c r="E24" s="87">
        <v>0</v>
      </c>
      <c r="F24" s="90">
        <f>'光伏发电衰减表 输入数据'!O24</f>
        <v>407302.297194151</v>
      </c>
      <c r="G24" s="88">
        <f t="shared" si="5"/>
        <v>5778608.7761593</v>
      </c>
      <c r="I24" s="85">
        <v>19</v>
      </c>
      <c r="J24" s="81">
        <f>税金参数!P22-税金参数!Q22</f>
        <v>475763.704021879</v>
      </c>
      <c r="K24" s="81">
        <f t="shared" si="7"/>
        <v>47576.3704021879</v>
      </c>
      <c r="L24" s="81">
        <f t="shared" si="6"/>
        <v>718810.155394617</v>
      </c>
      <c r="M24" s="81"/>
      <c r="N24" s="81">
        <f t="shared" si="4"/>
        <v>-546233.784992429</v>
      </c>
      <c r="O24" s="81">
        <f t="shared" si="2"/>
        <v>0</v>
      </c>
      <c r="P24" s="81">
        <f t="shared" si="3"/>
        <v>475763.704021879</v>
      </c>
      <c r="Q24" s="81">
        <f t="shared" si="1"/>
        <v>95152.7408043758</v>
      </c>
    </row>
    <row r="25" customHeight="1" spans="2:17">
      <c r="B25" s="85">
        <v>20</v>
      </c>
      <c r="C25" s="89">
        <f>'光伏发电衰减表 输入数据'!D25</f>
        <v>798442.796133667</v>
      </c>
      <c r="D25" s="89">
        <f>'光伏发电衰减表 输入数据'!G25</f>
        <v>542188.238234253</v>
      </c>
      <c r="E25" s="87">
        <v>0</v>
      </c>
      <c r="F25" s="90">
        <f>'光伏发电衰减表 输入数据'!O25</f>
        <v>405374.171415128</v>
      </c>
      <c r="G25" s="88">
        <f t="shared" si="5"/>
        <v>6183982.94757443</v>
      </c>
      <c r="I25" s="85">
        <v>20</v>
      </c>
      <c r="J25" s="81">
        <f>税金参数!P23-税金参数!Q23</f>
        <v>473527.112286749</v>
      </c>
      <c r="K25" s="81">
        <f t="shared" si="7"/>
        <v>47352.7112286749</v>
      </c>
      <c r="L25" s="81">
        <f t="shared" si="6"/>
        <v>766162.866623292</v>
      </c>
      <c r="M25" s="81"/>
      <c r="N25" s="81">
        <f t="shared" si="4"/>
        <v>-593810.155394617</v>
      </c>
      <c r="O25" s="81">
        <f t="shared" si="2"/>
        <v>0</v>
      </c>
      <c r="P25" s="81">
        <f t="shared" si="3"/>
        <v>473527.112286749</v>
      </c>
      <c r="Q25" s="81">
        <f t="shared" si="1"/>
        <v>94705.4224573497</v>
      </c>
    </row>
    <row r="26" customHeight="1" spans="2:17">
      <c r="B26" s="85">
        <v>21</v>
      </c>
      <c r="C26" s="89">
        <f>'光伏发电衰减表 输入数据'!D26</f>
        <v>794948.516938333</v>
      </c>
      <c r="D26" s="89">
        <f>'光伏发电衰减表 输入数据'!G26</f>
        <v>539815.423187276</v>
      </c>
      <c r="E26" s="87">
        <v>0</v>
      </c>
      <c r="F26" s="90">
        <f>'光伏发电衰减表 输入数据'!O26</f>
        <v>403446.045636105</v>
      </c>
      <c r="G26" s="88">
        <f t="shared" si="5"/>
        <v>6587428.99321053</v>
      </c>
      <c r="I26" s="85">
        <v>21</v>
      </c>
      <c r="J26" s="81">
        <f>税金参数!P24-税金参数!Q24</f>
        <v>471290.520551619</v>
      </c>
      <c r="K26" s="81">
        <f t="shared" si="7"/>
        <v>47129.0520551619</v>
      </c>
      <c r="L26" s="81">
        <f t="shared" si="6"/>
        <v>813291.918678454</v>
      </c>
      <c r="M26" s="81"/>
      <c r="N26" s="81">
        <f t="shared" si="4"/>
        <v>-641162.866623292</v>
      </c>
      <c r="O26" s="81">
        <f t="shared" si="2"/>
        <v>0</v>
      </c>
      <c r="P26" s="81">
        <f t="shared" si="3"/>
        <v>471290.520551619</v>
      </c>
      <c r="Q26" s="81">
        <f t="shared" si="1"/>
        <v>94258.1041103237</v>
      </c>
    </row>
    <row r="27" customHeight="1" spans="2:17">
      <c r="B27" s="85">
        <v>22</v>
      </c>
      <c r="C27" s="89">
        <f>'光伏发电衰减表 输入数据'!D27</f>
        <v>791454.237743</v>
      </c>
      <c r="D27" s="89">
        <f>'光伏发电衰减表 输入数据'!G27</f>
        <v>537442.608140299</v>
      </c>
      <c r="E27" s="87">
        <v>0</v>
      </c>
      <c r="F27" s="90">
        <f>'光伏发电衰减表 输入数据'!O27</f>
        <v>401517.919857082</v>
      </c>
      <c r="G27" s="88">
        <f t="shared" si="5"/>
        <v>6988946.91306761</v>
      </c>
      <c r="I27" s="85">
        <v>22</v>
      </c>
      <c r="J27" s="81">
        <f>税金参数!P25-税金参数!Q25</f>
        <v>469053.928816489</v>
      </c>
      <c r="K27" s="81">
        <f t="shared" si="7"/>
        <v>46905.3928816489</v>
      </c>
      <c r="L27" s="81">
        <f t="shared" si="6"/>
        <v>860197.311560103</v>
      </c>
      <c r="M27" s="81"/>
      <c r="N27" s="81">
        <f t="shared" si="4"/>
        <v>-688291.918678454</v>
      </c>
      <c r="O27" s="81">
        <f t="shared" si="2"/>
        <v>0</v>
      </c>
      <c r="P27" s="81">
        <f t="shared" si="3"/>
        <v>469053.928816489</v>
      </c>
      <c r="Q27" s="81">
        <f t="shared" si="1"/>
        <v>93810.7857632977</v>
      </c>
    </row>
    <row r="28" customHeight="1" spans="2:17">
      <c r="B28" s="85">
        <v>23</v>
      </c>
      <c r="C28" s="89">
        <f>'光伏发电衰减表 输入数据'!D28</f>
        <v>787959.958547667</v>
      </c>
      <c r="D28" s="89">
        <f>'光伏发电衰减表 输入数据'!G28</f>
        <v>535069.793093322</v>
      </c>
      <c r="E28" s="87">
        <v>0</v>
      </c>
      <c r="F28" s="90">
        <f>'光伏发电衰减表 输入数据'!O28</f>
        <v>399589.794078058</v>
      </c>
      <c r="G28" s="88">
        <f t="shared" si="5"/>
        <v>7388536.70714567</v>
      </c>
      <c r="I28" s="85">
        <v>23</v>
      </c>
      <c r="J28" s="81">
        <f>税金参数!P26-税金参数!Q26</f>
        <v>466817.337081358</v>
      </c>
      <c r="K28" s="81">
        <f t="shared" si="7"/>
        <v>46681.7337081358</v>
      </c>
      <c r="L28" s="81">
        <f t="shared" si="6"/>
        <v>906879.045268239</v>
      </c>
      <c r="M28" s="81"/>
      <c r="N28" s="81">
        <f t="shared" si="4"/>
        <v>-735197.311560103</v>
      </c>
      <c r="O28" s="81">
        <f t="shared" si="2"/>
        <v>0</v>
      </c>
      <c r="P28" s="81">
        <f t="shared" si="3"/>
        <v>466817.337081358</v>
      </c>
      <c r="Q28" s="81">
        <f t="shared" si="1"/>
        <v>93363.4674162717</v>
      </c>
    </row>
    <row r="29" customHeight="1" spans="2:17">
      <c r="B29" s="85">
        <v>24</v>
      </c>
      <c r="C29" s="89">
        <f>'光伏发电衰减表 输入数据'!D29</f>
        <v>784465.679352333</v>
      </c>
      <c r="D29" s="89">
        <f>'光伏发电衰减表 输入数据'!G29</f>
        <v>532696.978046345</v>
      </c>
      <c r="E29" s="87">
        <v>0</v>
      </c>
      <c r="F29" s="90">
        <f>'光伏发电衰减表 输入数据'!O29</f>
        <v>397661.668299035</v>
      </c>
      <c r="G29" s="88">
        <f t="shared" si="5"/>
        <v>7786198.37544471</v>
      </c>
      <c r="I29" s="85">
        <v>24</v>
      </c>
      <c r="J29" s="81">
        <f>税金参数!P27-税金参数!Q27</f>
        <v>464580.745346228</v>
      </c>
      <c r="K29" s="81">
        <f t="shared" si="7"/>
        <v>46458.0745346228</v>
      </c>
      <c r="L29" s="81">
        <f t="shared" si="6"/>
        <v>953337.119802861</v>
      </c>
      <c r="M29" s="81"/>
      <c r="N29" s="81">
        <f t="shared" si="4"/>
        <v>-781879.045268239</v>
      </c>
      <c r="O29" s="81">
        <f t="shared" si="2"/>
        <v>0</v>
      </c>
      <c r="P29" s="81">
        <f t="shared" si="3"/>
        <v>464580.745346228</v>
      </c>
      <c r="Q29" s="81">
        <f t="shared" si="1"/>
        <v>92916.1490692457</v>
      </c>
    </row>
    <row r="30" customHeight="1" spans="2:17">
      <c r="B30" s="85">
        <v>25</v>
      </c>
      <c r="C30" s="89">
        <f>'光伏发电衰减表 输入数据'!D30</f>
        <v>780971.400157</v>
      </c>
      <c r="D30" s="89">
        <f>'光伏发电衰减表 输入数据'!G30</f>
        <v>530324.162999368</v>
      </c>
      <c r="E30" s="87">
        <v>0</v>
      </c>
      <c r="F30" s="90">
        <f>'光伏发电衰减表 输入数据'!O30</f>
        <v>395733.542520012</v>
      </c>
      <c r="G30" s="88">
        <f t="shared" si="5"/>
        <v>8181931.91796472</v>
      </c>
      <c r="I30" s="85">
        <v>25</v>
      </c>
      <c r="J30" s="81">
        <f>税金参数!P28-税金参数!Q28</f>
        <v>462344.153611098</v>
      </c>
      <c r="K30" s="81">
        <f t="shared" si="7"/>
        <v>46234.4153611098</v>
      </c>
      <c r="L30" s="81">
        <f t="shared" si="6"/>
        <v>999571.535163971</v>
      </c>
      <c r="M30" s="81"/>
      <c r="N30" s="81">
        <f t="shared" si="4"/>
        <v>-828337.119802861</v>
      </c>
      <c r="O30" s="81">
        <f t="shared" si="2"/>
        <v>0</v>
      </c>
      <c r="P30" s="81">
        <f t="shared" si="3"/>
        <v>462344.153611098</v>
      </c>
      <c r="Q30" s="81">
        <f t="shared" si="1"/>
        <v>92468.8307222196</v>
      </c>
    </row>
    <row r="31" hidden="1" customHeight="1" spans="2:17">
      <c r="B31" s="85"/>
      <c r="C31" s="89"/>
      <c r="D31" s="89"/>
      <c r="E31" s="87"/>
      <c r="F31" s="90"/>
      <c r="G31" s="88"/>
      <c r="I31" s="81">
        <v>26</v>
      </c>
      <c r="J31" s="81">
        <f t="shared" ref="J31:J35" si="8">G31</f>
        <v>0</v>
      </c>
      <c r="K31" s="81"/>
      <c r="L31" s="81"/>
      <c r="M31" s="81"/>
      <c r="N31" s="81">
        <f>IF(L31&lt;$M$5,K31,0)</f>
        <v>0</v>
      </c>
      <c r="O31" s="81"/>
      <c r="P31" s="81">
        <f>IF(J31&lt;0,0,J31-K31)</f>
        <v>0</v>
      </c>
      <c r="Q31" s="81"/>
    </row>
    <row r="32" hidden="1" customHeight="1" spans="2:17">
      <c r="B32" s="85"/>
      <c r="C32" s="89"/>
      <c r="D32" s="89"/>
      <c r="E32" s="87"/>
      <c r="F32" s="90"/>
      <c r="G32" s="88"/>
      <c r="I32" s="81">
        <v>27</v>
      </c>
      <c r="J32" s="81">
        <f t="shared" si="8"/>
        <v>0</v>
      </c>
      <c r="K32" s="81"/>
      <c r="L32" s="81"/>
      <c r="M32" s="81"/>
      <c r="N32" s="81">
        <f>IF(L32&lt;$M$5,K32,0)</f>
        <v>0</v>
      </c>
      <c r="O32" s="81"/>
      <c r="P32" s="81">
        <f>IF(J32&lt;0,0,J32-K32)</f>
        <v>0</v>
      </c>
      <c r="Q32" s="81"/>
    </row>
    <row r="33" hidden="1" customHeight="1" spans="2:17">
      <c r="B33" s="85"/>
      <c r="C33" s="89"/>
      <c r="D33" s="89"/>
      <c r="E33" s="87"/>
      <c r="F33" s="90"/>
      <c r="G33" s="88"/>
      <c r="I33" s="81">
        <v>28</v>
      </c>
      <c r="J33" s="81">
        <f t="shared" si="8"/>
        <v>0</v>
      </c>
      <c r="K33" s="81"/>
      <c r="L33" s="81"/>
      <c r="M33" s="81"/>
      <c r="N33" s="81">
        <f>IF(L33&lt;$M$5,K33,0)</f>
        <v>0</v>
      </c>
      <c r="O33" s="81"/>
      <c r="P33" s="81">
        <f>IF(J33&lt;0,0,J33-K33)</f>
        <v>0</v>
      </c>
      <c r="Q33" s="81"/>
    </row>
    <row r="34" hidden="1" customHeight="1" spans="2:17">
      <c r="B34" s="85"/>
      <c r="C34" s="89"/>
      <c r="D34" s="89"/>
      <c r="E34" s="87"/>
      <c r="F34" s="90"/>
      <c r="G34" s="88"/>
      <c r="I34" s="81">
        <v>29</v>
      </c>
      <c r="J34" s="81">
        <f t="shared" si="8"/>
        <v>0</v>
      </c>
      <c r="K34" s="81"/>
      <c r="L34" s="81"/>
      <c r="M34" s="81"/>
      <c r="N34" s="81">
        <f>IF(L34&lt;$M$5,K34,0)</f>
        <v>0</v>
      </c>
      <c r="O34" s="81"/>
      <c r="P34" s="81">
        <f>IF(J34&lt;0,0,J34-K34)</f>
        <v>0</v>
      </c>
      <c r="Q34" s="81"/>
    </row>
    <row r="35" hidden="1" customHeight="1" spans="2:17">
      <c r="B35" s="85"/>
      <c r="C35" s="89"/>
      <c r="D35" s="89"/>
      <c r="E35" s="87"/>
      <c r="F35" s="90"/>
      <c r="G35" s="88"/>
      <c r="I35" s="81">
        <v>30</v>
      </c>
      <c r="J35" s="81">
        <f t="shared" si="8"/>
        <v>0</v>
      </c>
      <c r="K35" s="81"/>
      <c r="L35" s="81"/>
      <c r="M35" s="81"/>
      <c r="N35" s="81">
        <f>IF(L35&lt;$M$5,K35,0)</f>
        <v>0</v>
      </c>
      <c r="O35" s="81"/>
      <c r="P35" s="81">
        <f>IF(J35&lt;0,0,J35-K35)</f>
        <v>0</v>
      </c>
      <c r="Q35" s="81"/>
    </row>
    <row r="36" customHeight="1" spans="2:17">
      <c r="B36" s="33"/>
      <c r="C36" s="33"/>
      <c r="D36" s="33"/>
      <c r="E36" s="33"/>
      <c r="F36" s="33" t="s">
        <v>243</v>
      </c>
      <c r="G36" s="102">
        <f>IRR(F5:F30)</f>
        <v>0.200281829667062</v>
      </c>
      <c r="I36" s="105" t="s">
        <v>34</v>
      </c>
      <c r="J36" s="106"/>
      <c r="K36" s="106"/>
      <c r="L36" s="106"/>
      <c r="M36" s="106"/>
      <c r="N36" s="106"/>
      <c r="O36" s="106"/>
      <c r="P36" s="107"/>
      <c r="Q36" s="120">
        <f>SUM(Q5:Q30)</f>
        <v>1974143.07032794</v>
      </c>
    </row>
    <row r="37" customHeight="1" spans="2:15">
      <c r="B37" s="41"/>
      <c r="C37" s="41"/>
      <c r="D37" s="41"/>
      <c r="E37" s="41"/>
      <c r="F37" s="41"/>
      <c r="G37" s="41"/>
      <c r="K37" s="19"/>
      <c r="L37" s="19"/>
      <c r="M37" s="19"/>
      <c r="N37" s="19"/>
      <c r="O37" s="19"/>
    </row>
    <row r="38" customHeight="1" spans="11:15">
      <c r="K38" s="19"/>
      <c r="L38" s="19"/>
      <c r="M38" s="19"/>
      <c r="N38" s="19"/>
      <c r="O38" s="19"/>
    </row>
    <row r="39" customHeight="1" spans="11:15">
      <c r="K39" s="19"/>
      <c r="L39" s="19"/>
      <c r="M39" s="19"/>
      <c r="N39" s="19"/>
      <c r="O39" s="19"/>
    </row>
    <row r="40" customHeight="1" spans="6:15">
      <c r="F40" s="24"/>
      <c r="K40" s="19"/>
      <c r="L40" s="19"/>
      <c r="M40" s="19"/>
      <c r="N40" s="19"/>
      <c r="O40" s="19"/>
    </row>
    <row r="41" customHeight="1" spans="11:15">
      <c r="K41" s="19"/>
      <c r="L41" s="19"/>
      <c r="M41" s="19"/>
      <c r="N41" s="19"/>
      <c r="O41" s="19"/>
    </row>
    <row r="42" customHeight="1" spans="11:15">
      <c r="K42" s="19"/>
      <c r="L42" s="19"/>
      <c r="M42" s="19"/>
      <c r="N42" s="19"/>
      <c r="O42" s="19"/>
    </row>
    <row r="43" customHeight="1" spans="11:15">
      <c r="K43" s="19"/>
      <c r="L43" s="19"/>
      <c r="M43" s="19"/>
      <c r="N43" s="19"/>
      <c r="O43" s="19"/>
    </row>
    <row r="44" customHeight="1" spans="11:15">
      <c r="K44" s="19"/>
      <c r="L44" s="19"/>
      <c r="M44" s="19"/>
      <c r="N44" s="19"/>
      <c r="O44" s="19"/>
    </row>
    <row r="45" customHeight="1" spans="11:15">
      <c r="K45" s="19"/>
      <c r="L45" s="19"/>
      <c r="M45" s="19"/>
      <c r="N45" s="19"/>
      <c r="O45" s="19"/>
    </row>
    <row r="46" customHeight="1" spans="11:15">
      <c r="K46" s="19"/>
      <c r="L46" s="19"/>
      <c r="M46" s="19"/>
      <c r="N46" s="19"/>
      <c r="O46" s="19"/>
    </row>
    <row r="47" customHeight="1" spans="11:15">
      <c r="K47" s="19"/>
      <c r="L47" s="19"/>
      <c r="M47" s="19"/>
      <c r="N47" s="19"/>
      <c r="O47" s="19"/>
    </row>
    <row r="48" customHeight="1" spans="11:15">
      <c r="K48" s="19"/>
      <c r="L48" s="19"/>
      <c r="M48" s="19"/>
      <c r="N48" s="19"/>
      <c r="O48" s="19"/>
    </row>
    <row r="49" customHeight="1" spans="11:15">
      <c r="K49" s="19"/>
      <c r="L49" s="19"/>
      <c r="M49" s="19"/>
      <c r="N49" s="19"/>
      <c r="O49" s="19"/>
    </row>
    <row r="50" customHeight="1" spans="11:15">
      <c r="K50" s="19"/>
      <c r="L50" s="19"/>
      <c r="M50" s="19"/>
      <c r="N50" s="19"/>
      <c r="O50" s="19"/>
    </row>
    <row r="51" customHeight="1" spans="6:15">
      <c r="F51" s="19">
        <v>1126395.7746534</v>
      </c>
      <c r="K51" s="19"/>
      <c r="L51" s="19"/>
      <c r="M51" s="19"/>
      <c r="N51" s="19"/>
      <c r="O51" s="19"/>
    </row>
    <row r="52" customHeight="1" spans="6:15">
      <c r="F52" s="19">
        <v>1102917.77020033</v>
      </c>
      <c r="K52" s="19"/>
      <c r="L52" s="19"/>
      <c r="M52" s="19"/>
      <c r="N52" s="19"/>
      <c r="O52" s="19"/>
    </row>
    <row r="53" customHeight="1" spans="6:15">
      <c r="F53" s="19">
        <v>1094230.9085527</v>
      </c>
      <c r="K53" s="19"/>
      <c r="L53" s="19"/>
      <c r="M53" s="19"/>
      <c r="N53" s="19"/>
      <c r="O53" s="19"/>
    </row>
    <row r="54" customHeight="1" spans="6:15">
      <c r="F54" s="19">
        <v>1085778.82694959</v>
      </c>
      <c r="K54" s="19"/>
      <c r="L54" s="19"/>
      <c r="M54" s="19"/>
      <c r="N54" s="19"/>
      <c r="O54" s="19"/>
    </row>
    <row r="55" customHeight="1" spans="6:6">
      <c r="F55" s="19">
        <v>1077444.13536875</v>
      </c>
    </row>
    <row r="56" customHeight="1" spans="6:6">
      <c r="F56" s="19">
        <v>1069344.22383244</v>
      </c>
    </row>
    <row r="57" customHeight="1" spans="6:6">
      <c r="F57" s="19">
        <v>1061479.09234067</v>
      </c>
    </row>
    <row r="58" customHeight="1" spans="6:6">
      <c r="F58" s="19">
        <v>1053848.74089342</v>
      </c>
    </row>
    <row r="59" customHeight="1" spans="6:6">
      <c r="F59" s="19">
        <v>1046335.77946844</v>
      </c>
    </row>
    <row r="60" customHeight="1" spans="6:6">
      <c r="F60" s="19">
        <v>1038940.20806572</v>
      </c>
    </row>
    <row r="61" customHeight="1" spans="6:6">
      <c r="F61" s="19">
        <v>1031896.8067298</v>
      </c>
    </row>
    <row r="62" customHeight="1" spans="6:6">
      <c r="F62" s="19">
        <v>1024853.40539388</v>
      </c>
    </row>
    <row r="63" customHeight="1" spans="6:6">
      <c r="F63" s="19">
        <v>1017927.39408022</v>
      </c>
    </row>
    <row r="64" customHeight="1" spans="6:6">
      <c r="F64" s="19">
        <v>1011236.1628111</v>
      </c>
    </row>
    <row r="65" customHeight="1" spans="6:6">
      <c r="F65" s="19">
        <v>1004662.32156424</v>
      </c>
    </row>
    <row r="66" customHeight="1" spans="6:6">
      <c r="F66" s="19">
        <v>998205.870339647</v>
      </c>
    </row>
    <row r="67" customHeight="1" spans="6:6">
      <c r="F67" s="19">
        <v>991866.809137319</v>
      </c>
    </row>
    <row r="68" customHeight="1" spans="6:6">
      <c r="F68" s="19">
        <v>985645.137957256</v>
      </c>
    </row>
    <row r="69" customHeight="1" spans="6:6">
      <c r="F69" s="19">
        <v>979658.246821723</v>
      </c>
    </row>
    <row r="70" customHeight="1" spans="6:6">
      <c r="F70" s="19">
        <v>973788.745708456</v>
      </c>
    </row>
    <row r="71" customHeight="1" spans="6:6">
      <c r="F71" s="19">
        <v>967919.244595189</v>
      </c>
    </row>
    <row r="72" customHeight="1" spans="6:6">
      <c r="F72" s="19">
        <v>962284.523526453</v>
      </c>
    </row>
    <row r="73" customHeight="1" spans="6:6">
      <c r="F73" s="19">
        <v>956649.802457717</v>
      </c>
    </row>
    <row r="74" customHeight="1" spans="6:6">
      <c r="F74" s="19">
        <v>951249.861433511</v>
      </c>
    </row>
    <row r="75" customHeight="1" spans="6:6">
      <c r="F75" s="19">
        <v>945967.310431571</v>
      </c>
    </row>
  </sheetData>
  <mergeCells count="7">
    <mergeCell ref="I2:Q2"/>
    <mergeCell ref="B3:G3"/>
    <mergeCell ref="I3:Q3"/>
    <mergeCell ref="B36:E36"/>
    <mergeCell ref="I36:P36"/>
    <mergeCell ref="B37:G37"/>
    <mergeCell ref="S9:W1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5" zoomScaleNormal="85" topLeftCell="B1" workbookViewId="0">
      <selection activeCell="L3" sqref="L3"/>
    </sheetView>
  </sheetViews>
  <sheetFormatPr defaultColWidth="9" defaultRowHeight="14.25"/>
  <cols>
    <col min="2" max="2" width="6.375" customWidth="1"/>
    <col min="3" max="3" width="15.5" customWidth="1"/>
    <col min="4" max="4" width="13" style="41" customWidth="1"/>
    <col min="5" max="5" width="12.125" style="41" customWidth="1"/>
    <col min="6" max="6" width="11.375" style="41" customWidth="1"/>
    <col min="7" max="7" width="14.625" customWidth="1"/>
    <col min="8" max="8" width="19" customWidth="1"/>
    <col min="9" max="9" width="20.625" customWidth="1"/>
    <col min="10" max="10" width="31.875" customWidth="1"/>
    <col min="11" max="11" width="16.125" customWidth="1"/>
    <col min="12" max="15" width="9.5" customWidth="1"/>
    <col min="16" max="19" width="16" customWidth="1"/>
  </cols>
  <sheetData>
    <row r="1" ht="17.25" spans="10:19">
      <c r="J1" s="17"/>
      <c r="K1" s="33" t="s">
        <v>55</v>
      </c>
      <c r="L1" s="33"/>
      <c r="M1" s="33"/>
      <c r="N1" s="33"/>
      <c r="O1" s="33"/>
      <c r="P1" s="33"/>
      <c r="Q1" s="33"/>
      <c r="R1" s="33"/>
      <c r="S1" s="33"/>
    </row>
    <row r="2" ht="18.6" customHeight="1" spans="1:19">
      <c r="A2" s="39"/>
      <c r="B2" s="42" t="s">
        <v>244</v>
      </c>
      <c r="C2" s="43"/>
      <c r="D2" s="43"/>
      <c r="E2" s="44" t="s">
        <v>193</v>
      </c>
      <c r="F2" s="44" t="s">
        <v>58</v>
      </c>
      <c r="G2" s="45"/>
      <c r="H2" s="46"/>
      <c r="J2" s="17"/>
      <c r="K2" s="33" t="s">
        <v>61</v>
      </c>
      <c r="L2" s="33" t="s">
        <v>62</v>
      </c>
      <c r="M2" s="33" t="s">
        <v>63</v>
      </c>
      <c r="N2" s="33" t="s">
        <v>64</v>
      </c>
      <c r="O2" s="33" t="s">
        <v>65</v>
      </c>
      <c r="P2" s="33" t="s">
        <v>66</v>
      </c>
      <c r="Q2" s="33" t="s">
        <v>67</v>
      </c>
      <c r="R2" s="33" t="s">
        <v>68</v>
      </c>
      <c r="S2" s="33" t="s">
        <v>69</v>
      </c>
    </row>
    <row r="3" ht="18.6" customHeight="1" spans="1:19">
      <c r="A3" s="39"/>
      <c r="B3" s="47" t="s">
        <v>70</v>
      </c>
      <c r="C3" s="47" t="s">
        <v>71</v>
      </c>
      <c r="D3" s="47" t="s">
        <v>50</v>
      </c>
      <c r="E3" s="48">
        <v>0.8</v>
      </c>
      <c r="F3" s="49">
        <f>1-E3</f>
        <v>0.2</v>
      </c>
      <c r="G3" s="50" t="s">
        <v>245</v>
      </c>
      <c r="H3" s="50" t="s">
        <v>195</v>
      </c>
      <c r="I3" s="41"/>
      <c r="J3" s="58" t="s">
        <v>81</v>
      </c>
      <c r="K3" s="33"/>
      <c r="L3" s="59">
        <v>1.4773</v>
      </c>
      <c r="M3" s="59">
        <v>1.1872</v>
      </c>
      <c r="N3" s="59">
        <v>0.7097</v>
      </c>
      <c r="O3" s="36" t="s">
        <v>82</v>
      </c>
      <c r="P3" s="33">
        <v>0</v>
      </c>
      <c r="Q3" s="33">
        <v>0</v>
      </c>
      <c r="R3" s="33">
        <v>0</v>
      </c>
      <c r="S3" s="33">
        <v>0</v>
      </c>
    </row>
    <row r="4" ht="18.6" customHeight="1" spans="1:19">
      <c r="A4" s="39"/>
      <c r="B4" s="47">
        <v>1</v>
      </c>
      <c r="C4" s="51">
        <v>0.99</v>
      </c>
      <c r="D4" s="52" t="e">
        <f>$J$10*C4</f>
        <v>#REF!</v>
      </c>
      <c r="E4" s="53" t="e">
        <f>D4*E3</f>
        <v>#REF!</v>
      </c>
      <c r="F4" s="53" t="e">
        <f>D4*F3</f>
        <v>#REF!</v>
      </c>
      <c r="G4" s="54" t="e">
        <f>$J$12*C4*$E$3*$L$8+$J$12*C4*$F$3*$J$4+$J$14*C4*$E$3*$L$17+$J$14*C4*$F$3*$J$4</f>
        <v>#REF!</v>
      </c>
      <c r="H4" s="54" t="e">
        <f>D4/12</f>
        <v>#REF!</v>
      </c>
      <c r="I4" s="57"/>
      <c r="J4" s="60">
        <v>0.453</v>
      </c>
      <c r="K4" s="61" t="s">
        <v>83</v>
      </c>
      <c r="L4" s="33" t="s">
        <v>62</v>
      </c>
      <c r="M4" s="33" t="s">
        <v>63</v>
      </c>
      <c r="N4" s="33" t="s">
        <v>64</v>
      </c>
      <c r="O4" s="33" t="s">
        <v>65</v>
      </c>
      <c r="P4" s="62"/>
      <c r="Q4" s="17"/>
      <c r="R4" s="17"/>
      <c r="S4" s="17"/>
    </row>
    <row r="5" ht="18.6" customHeight="1" spans="1:19">
      <c r="A5" s="39"/>
      <c r="B5" s="47">
        <v>2</v>
      </c>
      <c r="C5" s="51">
        <f>C4-0.004</f>
        <v>0.986</v>
      </c>
      <c r="D5" s="52" t="e">
        <f>$J$10*C5</f>
        <v>#REF!</v>
      </c>
      <c r="E5" s="53" t="e">
        <f>D5*$E$3</f>
        <v>#REF!</v>
      </c>
      <c r="F5" s="53" t="e">
        <f>D5*$F$3</f>
        <v>#REF!</v>
      </c>
      <c r="G5" s="54" t="e">
        <f t="shared" ref="G5:G33" si="0">$J$12*C5*$E$3*$L$8+$J$12*C5*$F$3*$J$4+$J$14*C5*$E$3*$L$17+$J$14*C5*$F$3*$J$4</f>
        <v>#REF!</v>
      </c>
      <c r="H5" s="54" t="e">
        <f>D5/12</f>
        <v>#REF!</v>
      </c>
      <c r="I5" s="57"/>
      <c r="K5" s="63"/>
      <c r="L5" s="64">
        <f>L3+P3+S3</f>
        <v>1.4773</v>
      </c>
      <c r="M5" s="64">
        <f>M3+Q3+S3</f>
        <v>1.1872</v>
      </c>
      <c r="N5" s="64">
        <f>N3+R3+S3</f>
        <v>0.7097</v>
      </c>
      <c r="O5" s="64" t="s">
        <v>82</v>
      </c>
      <c r="P5" s="63"/>
      <c r="Q5" s="17"/>
      <c r="R5" s="17"/>
      <c r="S5" s="17"/>
    </row>
    <row r="6" ht="18.6" customHeight="1" spans="1:19">
      <c r="A6" s="39"/>
      <c r="B6" s="47">
        <v>3</v>
      </c>
      <c r="C6" s="51">
        <f t="shared" ref="C6:C33" si="1">C5-0.004</f>
        <v>0.982</v>
      </c>
      <c r="D6" s="52" t="e">
        <f t="shared" ref="D6:D33" si="2">$J$10*C6</f>
        <v>#REF!</v>
      </c>
      <c r="E6" s="53" t="e">
        <f t="shared" ref="E6:E33" si="3">D6*$E$3</f>
        <v>#REF!</v>
      </c>
      <c r="F6" s="53" t="e">
        <f t="shared" ref="F6:F33" si="4">D6*$F$3</f>
        <v>#REF!</v>
      </c>
      <c r="G6" s="54" t="e">
        <f t="shared" si="0"/>
        <v>#REF!</v>
      </c>
      <c r="H6" s="54" t="e">
        <f t="shared" ref="H6:H33" si="5">D6/12</f>
        <v>#REF!</v>
      </c>
      <c r="I6" s="57"/>
      <c r="K6" s="33"/>
      <c r="L6" s="33" t="s">
        <v>85</v>
      </c>
      <c r="M6" s="33" t="s">
        <v>85</v>
      </c>
      <c r="N6" s="33" t="s">
        <v>85</v>
      </c>
      <c r="O6" s="33" t="s">
        <v>85</v>
      </c>
      <c r="P6" s="33" t="s">
        <v>86</v>
      </c>
      <c r="Q6" s="17"/>
      <c r="R6" s="17"/>
      <c r="S6" s="17"/>
    </row>
    <row r="7" ht="18.6" customHeight="1" spans="1:19">
      <c r="A7" s="39"/>
      <c r="B7" s="47">
        <v>4</v>
      </c>
      <c r="C7" s="51">
        <f t="shared" si="1"/>
        <v>0.978</v>
      </c>
      <c r="D7" s="52" t="e">
        <f t="shared" si="2"/>
        <v>#REF!</v>
      </c>
      <c r="E7" s="53" t="e">
        <f t="shared" si="3"/>
        <v>#REF!</v>
      </c>
      <c r="F7" s="53" t="e">
        <f t="shared" si="4"/>
        <v>#REF!</v>
      </c>
      <c r="G7" s="54" t="e">
        <f t="shared" si="0"/>
        <v>#REF!</v>
      </c>
      <c r="H7" s="54" t="e">
        <f t="shared" si="5"/>
        <v>#REF!</v>
      </c>
      <c r="I7" s="57"/>
      <c r="J7" s="65" t="s">
        <v>87</v>
      </c>
      <c r="K7" s="34"/>
      <c r="L7" s="36">
        <v>0</v>
      </c>
      <c r="M7" s="36">
        <v>5</v>
      </c>
      <c r="N7" s="36">
        <v>4</v>
      </c>
      <c r="O7" s="36">
        <v>0</v>
      </c>
      <c r="P7" s="33">
        <v>9</v>
      </c>
      <c r="Q7" s="17"/>
      <c r="R7" s="17"/>
      <c r="S7" s="17"/>
    </row>
    <row r="8" ht="18.6" customHeight="1" spans="1:19">
      <c r="A8" s="39"/>
      <c r="B8" s="47">
        <v>5</v>
      </c>
      <c r="C8" s="51">
        <f t="shared" si="1"/>
        <v>0.974</v>
      </c>
      <c r="D8" s="52" t="e">
        <f t="shared" si="2"/>
        <v>#REF!</v>
      </c>
      <c r="E8" s="53" t="e">
        <f t="shared" si="3"/>
        <v>#REF!</v>
      </c>
      <c r="F8" s="53" t="e">
        <f t="shared" si="4"/>
        <v>#REF!</v>
      </c>
      <c r="G8" s="54" t="e">
        <f t="shared" si="0"/>
        <v>#REF!</v>
      </c>
      <c r="H8" s="54" t="e">
        <f t="shared" si="5"/>
        <v>#REF!</v>
      </c>
      <c r="I8" s="57"/>
      <c r="J8" s="66">
        <f>(L8*9+L17*3)/12</f>
        <v>0.999152777777778</v>
      </c>
      <c r="K8" s="34" t="s">
        <v>88</v>
      </c>
      <c r="L8" s="67">
        <f>(L5*L7+M5*M7+N5*N7)/P7</f>
        <v>0.974977777777778</v>
      </c>
      <c r="M8" s="68"/>
      <c r="N8" s="68"/>
      <c r="O8" s="68"/>
      <c r="P8" s="69"/>
      <c r="Q8" s="17"/>
      <c r="R8" s="17"/>
      <c r="S8" s="17"/>
    </row>
    <row r="9" ht="18.6" customHeight="1" spans="1:19">
      <c r="A9" s="39"/>
      <c r="B9" s="47">
        <v>6</v>
      </c>
      <c r="C9" s="51">
        <f t="shared" si="1"/>
        <v>0.97</v>
      </c>
      <c r="D9" s="52" t="e">
        <f t="shared" si="2"/>
        <v>#REF!</v>
      </c>
      <c r="E9" s="53" t="e">
        <f t="shared" si="3"/>
        <v>#REF!</v>
      </c>
      <c r="F9" s="53" t="e">
        <f t="shared" si="4"/>
        <v>#REF!</v>
      </c>
      <c r="G9" s="54" t="e">
        <f t="shared" si="0"/>
        <v>#REF!</v>
      </c>
      <c r="H9" s="54" t="e">
        <f t="shared" si="5"/>
        <v>#REF!</v>
      </c>
      <c r="I9" s="57"/>
      <c r="J9" s="70" t="s">
        <v>197</v>
      </c>
      <c r="K9" s="17"/>
      <c r="L9" s="17"/>
      <c r="M9" s="17"/>
      <c r="N9" s="17"/>
      <c r="O9" s="17"/>
      <c r="P9" s="17"/>
      <c r="Q9" s="17"/>
      <c r="R9" s="17"/>
      <c r="S9" s="17"/>
    </row>
    <row r="10" ht="18.6" customHeight="1" spans="1:19">
      <c r="A10" s="39"/>
      <c r="B10" s="47">
        <v>7</v>
      </c>
      <c r="C10" s="51">
        <f t="shared" si="1"/>
        <v>0.966</v>
      </c>
      <c r="D10" s="52" t="e">
        <f t="shared" si="2"/>
        <v>#REF!</v>
      </c>
      <c r="E10" s="53" t="e">
        <f t="shared" si="3"/>
        <v>#REF!</v>
      </c>
      <c r="F10" s="53" t="e">
        <f t="shared" si="4"/>
        <v>#REF!</v>
      </c>
      <c r="G10" s="54" t="e">
        <f t="shared" si="0"/>
        <v>#REF!</v>
      </c>
      <c r="H10" s="54" t="e">
        <f t="shared" si="5"/>
        <v>#REF!</v>
      </c>
      <c r="I10" s="57"/>
      <c r="J10" s="71" t="e">
        <f>J12+J14</f>
        <v>#REF!</v>
      </c>
      <c r="K10" s="72" t="s">
        <v>90</v>
      </c>
      <c r="L10" s="70"/>
      <c r="M10" s="70"/>
      <c r="N10" s="70"/>
      <c r="O10" s="70"/>
      <c r="P10" s="70"/>
      <c r="Q10" s="70"/>
      <c r="R10" s="70"/>
      <c r="S10" s="70"/>
    </row>
    <row r="11" ht="18.6" customHeight="1" spans="1:19">
      <c r="A11" s="39"/>
      <c r="B11" s="47">
        <v>8</v>
      </c>
      <c r="C11" s="51">
        <f t="shared" si="1"/>
        <v>0.962</v>
      </c>
      <c r="D11" s="52" t="e">
        <f t="shared" si="2"/>
        <v>#REF!</v>
      </c>
      <c r="E11" s="53" t="e">
        <f t="shared" si="3"/>
        <v>#REF!</v>
      </c>
      <c r="F11" s="53" t="e">
        <f t="shared" si="4"/>
        <v>#REF!</v>
      </c>
      <c r="G11" s="54" t="e">
        <f t="shared" si="0"/>
        <v>#REF!</v>
      </c>
      <c r="H11" s="54" t="e">
        <f t="shared" si="5"/>
        <v>#REF!</v>
      </c>
      <c r="I11" s="57"/>
      <c r="J11" s="70" t="s">
        <v>198</v>
      </c>
      <c r="K11" s="72" t="s">
        <v>61</v>
      </c>
      <c r="L11" s="70" t="s">
        <v>62</v>
      </c>
      <c r="M11" s="70" t="s">
        <v>63</v>
      </c>
      <c r="N11" s="70" t="s">
        <v>64</v>
      </c>
      <c r="O11" s="70" t="s">
        <v>65</v>
      </c>
      <c r="P11" s="70" t="s">
        <v>66</v>
      </c>
      <c r="Q11" s="70" t="s">
        <v>67</v>
      </c>
      <c r="R11" s="70" t="s">
        <v>68</v>
      </c>
      <c r="S11" s="70" t="s">
        <v>69</v>
      </c>
    </row>
    <row r="12" ht="18.6" customHeight="1" spans="1:19">
      <c r="A12" s="39"/>
      <c r="B12" s="47">
        <v>9</v>
      </c>
      <c r="C12" s="51">
        <f t="shared" si="1"/>
        <v>0.958</v>
      </c>
      <c r="D12" s="52" t="e">
        <f t="shared" si="2"/>
        <v>#REF!</v>
      </c>
      <c r="E12" s="53" t="e">
        <f t="shared" si="3"/>
        <v>#REF!</v>
      </c>
      <c r="F12" s="53" t="e">
        <f t="shared" si="4"/>
        <v>#REF!</v>
      </c>
      <c r="G12" s="54" t="e">
        <f t="shared" si="0"/>
        <v>#REF!</v>
      </c>
      <c r="H12" s="54" t="e">
        <f t="shared" si="5"/>
        <v>#REF!</v>
      </c>
      <c r="I12" s="57"/>
      <c r="J12" s="71" t="e">
        <f>M21+M22+M23+M24+M25+M26+M30+M31+M32</f>
        <v>#REF!</v>
      </c>
      <c r="K12" s="72"/>
      <c r="L12" s="73">
        <f t="shared" ref="L12:O12" si="6">L3</f>
        <v>1.4773</v>
      </c>
      <c r="M12" s="73">
        <f t="shared" si="6"/>
        <v>1.1872</v>
      </c>
      <c r="N12" s="73">
        <f t="shared" si="6"/>
        <v>0.7097</v>
      </c>
      <c r="O12" s="73" t="str">
        <f t="shared" si="6"/>
        <v>忽略</v>
      </c>
      <c r="P12" s="70">
        <v>0</v>
      </c>
      <c r="Q12" s="70">
        <v>0</v>
      </c>
      <c r="R12" s="70">
        <v>0</v>
      </c>
      <c r="S12" s="70">
        <v>0</v>
      </c>
    </row>
    <row r="13" ht="18.6" customHeight="1" spans="1:19">
      <c r="A13" s="39"/>
      <c r="B13" s="47">
        <v>10</v>
      </c>
      <c r="C13" s="51">
        <f t="shared" si="1"/>
        <v>0.954</v>
      </c>
      <c r="D13" s="52" t="e">
        <f t="shared" si="2"/>
        <v>#REF!</v>
      </c>
      <c r="E13" s="53" t="e">
        <f t="shared" si="3"/>
        <v>#REF!</v>
      </c>
      <c r="F13" s="53" t="e">
        <f t="shared" si="4"/>
        <v>#REF!</v>
      </c>
      <c r="G13" s="54" t="e">
        <f t="shared" si="0"/>
        <v>#REF!</v>
      </c>
      <c r="H13" s="54" t="e">
        <f t="shared" si="5"/>
        <v>#REF!</v>
      </c>
      <c r="I13" s="57"/>
      <c r="J13" s="70" t="s">
        <v>92</v>
      </c>
      <c r="K13" s="74" t="s">
        <v>83</v>
      </c>
      <c r="L13" s="63" t="s">
        <v>62</v>
      </c>
      <c r="M13" s="63" t="s">
        <v>63</v>
      </c>
      <c r="N13" s="63" t="s">
        <v>64</v>
      </c>
      <c r="O13" s="63" t="s">
        <v>65</v>
      </c>
      <c r="P13" s="75"/>
      <c r="Q13" s="39"/>
      <c r="R13" s="39"/>
      <c r="S13" s="39"/>
    </row>
    <row r="14" ht="18.6" customHeight="1" spans="1:19">
      <c r="A14" s="39"/>
      <c r="B14" s="47">
        <v>11</v>
      </c>
      <c r="C14" s="51">
        <f t="shared" si="1"/>
        <v>0.95</v>
      </c>
      <c r="D14" s="52" t="e">
        <f t="shared" si="2"/>
        <v>#REF!</v>
      </c>
      <c r="E14" s="53" t="e">
        <f t="shared" si="3"/>
        <v>#REF!</v>
      </c>
      <c r="F14" s="53" t="e">
        <f t="shared" si="4"/>
        <v>#REF!</v>
      </c>
      <c r="G14" s="54" t="e">
        <f t="shared" si="0"/>
        <v>#REF!</v>
      </c>
      <c r="H14" s="54" t="e">
        <f t="shared" si="5"/>
        <v>#REF!</v>
      </c>
      <c r="I14" s="57"/>
      <c r="J14" s="71" t="e">
        <f>M27+M28+M29</f>
        <v>#REF!</v>
      </c>
      <c r="K14" s="76"/>
      <c r="L14" s="64">
        <f>L12+P12+S12</f>
        <v>1.4773</v>
      </c>
      <c r="M14" s="64">
        <f>M12+Q12+S12</f>
        <v>1.1872</v>
      </c>
      <c r="N14" s="64">
        <f>N12+R12+S12</f>
        <v>0.7097</v>
      </c>
      <c r="O14" s="64" t="s">
        <v>82</v>
      </c>
      <c r="P14" s="77"/>
      <c r="Q14" s="39"/>
      <c r="R14" s="39"/>
      <c r="S14" s="39"/>
    </row>
    <row r="15" ht="18.6" customHeight="1" spans="1:19">
      <c r="A15" s="39"/>
      <c r="B15" s="47">
        <v>12</v>
      </c>
      <c r="C15" s="51">
        <f t="shared" si="1"/>
        <v>0.946</v>
      </c>
      <c r="D15" s="52" t="e">
        <f t="shared" si="2"/>
        <v>#REF!</v>
      </c>
      <c r="E15" s="53" t="e">
        <f t="shared" si="3"/>
        <v>#REF!</v>
      </c>
      <c r="F15" s="53" t="e">
        <f t="shared" si="4"/>
        <v>#REF!</v>
      </c>
      <c r="G15" s="54" t="e">
        <f t="shared" si="0"/>
        <v>#REF!</v>
      </c>
      <c r="H15" s="54" t="e">
        <f t="shared" si="5"/>
        <v>#REF!</v>
      </c>
      <c r="I15" s="57"/>
      <c r="J15" s="39"/>
      <c r="K15" s="33"/>
      <c r="L15" s="33" t="s">
        <v>85</v>
      </c>
      <c r="M15" s="33" t="s">
        <v>85</v>
      </c>
      <c r="N15" s="33" t="s">
        <v>85</v>
      </c>
      <c r="O15" s="33" t="s">
        <v>85</v>
      </c>
      <c r="P15" s="33" t="s">
        <v>86</v>
      </c>
      <c r="Q15" s="39"/>
      <c r="R15" s="39"/>
      <c r="S15" s="39"/>
    </row>
    <row r="16" ht="18.6" customHeight="1" spans="1:19">
      <c r="A16" s="39"/>
      <c r="B16" s="47">
        <v>13</v>
      </c>
      <c r="C16" s="51">
        <f t="shared" si="1"/>
        <v>0.942</v>
      </c>
      <c r="D16" s="52" t="e">
        <f t="shared" si="2"/>
        <v>#REF!</v>
      </c>
      <c r="E16" s="53" t="e">
        <f t="shared" si="3"/>
        <v>#REF!</v>
      </c>
      <c r="F16" s="53" t="e">
        <f t="shared" si="4"/>
        <v>#REF!</v>
      </c>
      <c r="G16" s="54" t="e">
        <f t="shared" si="0"/>
        <v>#REF!</v>
      </c>
      <c r="H16" s="54" t="e">
        <f t="shared" si="5"/>
        <v>#REF!</v>
      </c>
      <c r="I16" s="57"/>
      <c r="J16" s="39"/>
      <c r="K16" s="33"/>
      <c r="L16" s="36">
        <v>3</v>
      </c>
      <c r="M16" s="36">
        <v>2</v>
      </c>
      <c r="N16" s="36">
        <v>4</v>
      </c>
      <c r="O16" s="36">
        <v>0</v>
      </c>
      <c r="P16" s="33">
        <v>9</v>
      </c>
      <c r="Q16" s="39"/>
      <c r="R16" s="39"/>
      <c r="S16" s="39"/>
    </row>
    <row r="17" ht="18.6" customHeight="1" spans="1:19">
      <c r="A17" s="39"/>
      <c r="B17" s="47">
        <v>14</v>
      </c>
      <c r="C17" s="51">
        <f t="shared" si="1"/>
        <v>0.938</v>
      </c>
      <c r="D17" s="52" t="e">
        <f t="shared" si="2"/>
        <v>#REF!</v>
      </c>
      <c r="E17" s="53" t="e">
        <f t="shared" si="3"/>
        <v>#REF!</v>
      </c>
      <c r="F17" s="53" t="e">
        <f t="shared" si="4"/>
        <v>#REF!</v>
      </c>
      <c r="G17" s="54" t="e">
        <f t="shared" si="0"/>
        <v>#REF!</v>
      </c>
      <c r="H17" s="54" t="e">
        <f t="shared" si="5"/>
        <v>#REF!</v>
      </c>
      <c r="I17" s="78"/>
      <c r="J17" s="39"/>
      <c r="K17" s="33" t="s">
        <v>88</v>
      </c>
      <c r="L17" s="67">
        <f>(L14*L16+M14*M16+N14*N16)/P16</f>
        <v>1.07167777777778</v>
      </c>
      <c r="M17" s="68"/>
      <c r="N17" s="68"/>
      <c r="O17" s="68"/>
      <c r="P17" s="69"/>
      <c r="Q17" s="39"/>
      <c r="R17" s="39"/>
      <c r="S17" s="39"/>
    </row>
    <row r="18" ht="18.6" customHeight="1" spans="1:19">
      <c r="A18" s="39"/>
      <c r="B18" s="47">
        <v>15</v>
      </c>
      <c r="C18" s="51">
        <f t="shared" si="1"/>
        <v>0.934</v>
      </c>
      <c r="D18" s="52" t="e">
        <f t="shared" si="2"/>
        <v>#REF!</v>
      </c>
      <c r="E18" s="53" t="e">
        <f t="shared" si="3"/>
        <v>#REF!</v>
      </c>
      <c r="F18" s="53" t="e">
        <f t="shared" si="4"/>
        <v>#REF!</v>
      </c>
      <c r="G18" s="54" t="e">
        <f t="shared" si="0"/>
        <v>#REF!</v>
      </c>
      <c r="H18" s="54" t="e">
        <f t="shared" si="5"/>
        <v>#REF!</v>
      </c>
      <c r="I18" s="78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ht="18.6" customHeight="1" spans="1:19">
      <c r="A19" s="39"/>
      <c r="B19" s="47">
        <v>16</v>
      </c>
      <c r="C19" s="51">
        <f t="shared" si="1"/>
        <v>0.93</v>
      </c>
      <c r="D19" s="52" t="e">
        <f t="shared" si="2"/>
        <v>#REF!</v>
      </c>
      <c r="E19" s="53" t="e">
        <f t="shared" si="3"/>
        <v>#REF!</v>
      </c>
      <c r="F19" s="53" t="e">
        <f t="shared" si="4"/>
        <v>#REF!</v>
      </c>
      <c r="G19" s="54" t="e">
        <f t="shared" si="0"/>
        <v>#REF!</v>
      </c>
      <c r="H19" s="54" t="e">
        <f t="shared" si="5"/>
        <v>#REF!</v>
      </c>
      <c r="I19" s="78"/>
      <c r="J19" s="39"/>
      <c r="K19" s="79" t="s">
        <v>199</v>
      </c>
      <c r="L19" s="80"/>
      <c r="M19" s="80"/>
      <c r="N19" s="34"/>
      <c r="O19" s="39"/>
      <c r="P19" s="39"/>
      <c r="Q19" s="39"/>
      <c r="R19" s="39"/>
      <c r="S19" s="39"/>
    </row>
    <row r="20" ht="18.6" customHeight="1" spans="1:19">
      <c r="A20" s="39"/>
      <c r="B20" s="47">
        <v>17</v>
      </c>
      <c r="C20" s="51">
        <f t="shared" si="1"/>
        <v>0.926</v>
      </c>
      <c r="D20" s="52" t="e">
        <f t="shared" si="2"/>
        <v>#REF!</v>
      </c>
      <c r="E20" s="53" t="e">
        <f t="shared" si="3"/>
        <v>#REF!</v>
      </c>
      <c r="F20" s="53" t="e">
        <f t="shared" si="4"/>
        <v>#REF!</v>
      </c>
      <c r="G20" s="54" t="e">
        <f t="shared" si="0"/>
        <v>#REF!</v>
      </c>
      <c r="H20" s="54" t="e">
        <f t="shared" si="5"/>
        <v>#REF!</v>
      </c>
      <c r="I20" s="78"/>
      <c r="J20" s="39"/>
      <c r="K20" s="79" t="s">
        <v>14</v>
      </c>
      <c r="L20" s="34"/>
      <c r="M20" s="79" t="s">
        <v>95</v>
      </c>
      <c r="N20" s="34"/>
      <c r="O20" s="39"/>
      <c r="P20" s="39"/>
      <c r="Q20" s="39"/>
      <c r="R20" s="39"/>
      <c r="S20" s="39"/>
    </row>
    <row r="21" ht="18.6" customHeight="1" spans="1:19">
      <c r="A21" s="39"/>
      <c r="B21" s="47">
        <v>18</v>
      </c>
      <c r="C21" s="51">
        <f t="shared" si="1"/>
        <v>0.922</v>
      </c>
      <c r="D21" s="52" t="e">
        <f t="shared" si="2"/>
        <v>#REF!</v>
      </c>
      <c r="E21" s="53" t="e">
        <f t="shared" si="3"/>
        <v>#REF!</v>
      </c>
      <c r="F21" s="53" t="e">
        <f t="shared" si="4"/>
        <v>#REF!</v>
      </c>
      <c r="G21" s="54" t="e">
        <f t="shared" si="0"/>
        <v>#REF!</v>
      </c>
      <c r="H21" s="54" t="e">
        <f t="shared" si="5"/>
        <v>#REF!</v>
      </c>
      <c r="I21" s="78"/>
      <c r="J21" s="39"/>
      <c r="K21" s="33" t="s">
        <v>21</v>
      </c>
      <c r="L21" s="33"/>
      <c r="M21" s="81" t="e">
        <f>基础数据!#REF!</f>
        <v>#REF!</v>
      </c>
      <c r="N21" s="81"/>
      <c r="O21" s="39"/>
      <c r="P21" s="39"/>
      <c r="Q21" s="39"/>
      <c r="R21" s="39"/>
      <c r="S21" s="39"/>
    </row>
    <row r="22" ht="18.6" customHeight="1" spans="1:19">
      <c r="A22" s="39"/>
      <c r="B22" s="47">
        <v>19</v>
      </c>
      <c r="C22" s="51">
        <f t="shared" si="1"/>
        <v>0.918</v>
      </c>
      <c r="D22" s="52" t="e">
        <f t="shared" si="2"/>
        <v>#REF!</v>
      </c>
      <c r="E22" s="53" t="e">
        <f t="shared" si="3"/>
        <v>#REF!</v>
      </c>
      <c r="F22" s="53" t="e">
        <f t="shared" si="4"/>
        <v>#REF!</v>
      </c>
      <c r="G22" s="54" t="e">
        <f t="shared" si="0"/>
        <v>#REF!</v>
      </c>
      <c r="H22" s="54" t="e">
        <f t="shared" si="5"/>
        <v>#REF!</v>
      </c>
      <c r="I22" s="78"/>
      <c r="J22" s="39"/>
      <c r="K22" s="33" t="s">
        <v>22</v>
      </c>
      <c r="L22" s="33"/>
      <c r="M22" s="81" t="e">
        <f>基础数据!#REF!</f>
        <v>#REF!</v>
      </c>
      <c r="N22" s="81"/>
      <c r="O22" s="39"/>
      <c r="P22" s="39"/>
      <c r="Q22" s="39"/>
      <c r="R22" s="39"/>
      <c r="S22" s="39"/>
    </row>
    <row r="23" ht="18.6" customHeight="1" spans="1:19">
      <c r="A23" s="39"/>
      <c r="B23" s="47">
        <v>20</v>
      </c>
      <c r="C23" s="51">
        <f t="shared" si="1"/>
        <v>0.914</v>
      </c>
      <c r="D23" s="52" t="e">
        <f t="shared" si="2"/>
        <v>#REF!</v>
      </c>
      <c r="E23" s="53" t="e">
        <f t="shared" si="3"/>
        <v>#REF!</v>
      </c>
      <c r="F23" s="53" t="e">
        <f t="shared" si="4"/>
        <v>#REF!</v>
      </c>
      <c r="G23" s="54" t="e">
        <f t="shared" si="0"/>
        <v>#REF!</v>
      </c>
      <c r="H23" s="54" t="e">
        <f t="shared" si="5"/>
        <v>#REF!</v>
      </c>
      <c r="I23" s="78"/>
      <c r="J23" s="39"/>
      <c r="K23" s="33" t="s">
        <v>23</v>
      </c>
      <c r="L23" s="33"/>
      <c r="M23" s="81" t="e">
        <f>基础数据!#REF!</f>
        <v>#REF!</v>
      </c>
      <c r="N23" s="81"/>
      <c r="O23" s="39"/>
      <c r="P23" s="39"/>
      <c r="Q23" s="39"/>
      <c r="R23" s="39"/>
      <c r="S23" s="39"/>
    </row>
    <row r="24" ht="18.6" customHeight="1" spans="1:19">
      <c r="A24" s="39"/>
      <c r="B24" s="47">
        <v>21</v>
      </c>
      <c r="C24" s="51">
        <f t="shared" si="1"/>
        <v>0.91</v>
      </c>
      <c r="D24" s="52" t="e">
        <f t="shared" si="2"/>
        <v>#REF!</v>
      </c>
      <c r="E24" s="53" t="e">
        <f t="shared" si="3"/>
        <v>#REF!</v>
      </c>
      <c r="F24" s="53" t="e">
        <f t="shared" si="4"/>
        <v>#REF!</v>
      </c>
      <c r="G24" s="54" t="e">
        <f t="shared" si="0"/>
        <v>#REF!</v>
      </c>
      <c r="H24" s="54" t="e">
        <f t="shared" si="5"/>
        <v>#REF!</v>
      </c>
      <c r="I24" s="78"/>
      <c r="J24" s="39"/>
      <c r="K24" s="33" t="s">
        <v>24</v>
      </c>
      <c r="L24" s="33"/>
      <c r="M24" s="81" t="e">
        <f>基础数据!#REF!</f>
        <v>#REF!</v>
      </c>
      <c r="N24" s="81"/>
      <c r="O24" s="39"/>
      <c r="P24" s="39"/>
      <c r="Q24" s="39"/>
      <c r="R24" s="39"/>
      <c r="S24" s="39"/>
    </row>
    <row r="25" ht="18.6" customHeight="1" spans="1:19">
      <c r="A25" s="39"/>
      <c r="B25" s="47">
        <v>22</v>
      </c>
      <c r="C25" s="51">
        <f t="shared" si="1"/>
        <v>0.906</v>
      </c>
      <c r="D25" s="52" t="e">
        <f t="shared" si="2"/>
        <v>#REF!</v>
      </c>
      <c r="E25" s="53" t="e">
        <f t="shared" si="3"/>
        <v>#REF!</v>
      </c>
      <c r="F25" s="53" t="e">
        <f t="shared" si="4"/>
        <v>#REF!</v>
      </c>
      <c r="G25" s="54" t="e">
        <f t="shared" si="0"/>
        <v>#REF!</v>
      </c>
      <c r="H25" s="54" t="e">
        <f t="shared" si="5"/>
        <v>#REF!</v>
      </c>
      <c r="I25" s="57"/>
      <c r="J25" s="39"/>
      <c r="K25" s="33" t="s">
        <v>25</v>
      </c>
      <c r="L25" s="33"/>
      <c r="M25" s="81" t="e">
        <f>基础数据!#REF!</f>
        <v>#REF!</v>
      </c>
      <c r="N25" s="81"/>
      <c r="O25" s="39"/>
      <c r="P25" s="39"/>
      <c r="Q25" s="39"/>
      <c r="R25" s="39"/>
      <c r="S25" s="39"/>
    </row>
    <row r="26" ht="18.6" customHeight="1" spans="1:19">
      <c r="A26" s="39"/>
      <c r="B26" s="47">
        <v>23</v>
      </c>
      <c r="C26" s="51">
        <f t="shared" si="1"/>
        <v>0.902</v>
      </c>
      <c r="D26" s="52" t="e">
        <f t="shared" si="2"/>
        <v>#REF!</v>
      </c>
      <c r="E26" s="53" t="e">
        <f t="shared" si="3"/>
        <v>#REF!</v>
      </c>
      <c r="F26" s="53" t="e">
        <f t="shared" si="4"/>
        <v>#REF!</v>
      </c>
      <c r="G26" s="54" t="e">
        <f t="shared" si="0"/>
        <v>#REF!</v>
      </c>
      <c r="H26" s="54" t="e">
        <f t="shared" si="5"/>
        <v>#REF!</v>
      </c>
      <c r="I26" s="57"/>
      <c r="J26" s="39"/>
      <c r="K26" s="33" t="s">
        <v>26</v>
      </c>
      <c r="L26" s="33"/>
      <c r="M26" s="81" t="e">
        <f>基础数据!#REF!</f>
        <v>#REF!</v>
      </c>
      <c r="N26" s="81"/>
      <c r="O26" s="39"/>
      <c r="P26" s="39"/>
      <c r="Q26" s="39"/>
      <c r="R26" s="39"/>
      <c r="S26" s="39"/>
    </row>
    <row r="27" ht="18.6" customHeight="1" spans="1:19">
      <c r="A27" s="39"/>
      <c r="B27" s="47">
        <v>24</v>
      </c>
      <c r="C27" s="51">
        <f t="shared" si="1"/>
        <v>0.898</v>
      </c>
      <c r="D27" s="52" t="e">
        <f t="shared" si="2"/>
        <v>#REF!</v>
      </c>
      <c r="E27" s="53" t="e">
        <f t="shared" si="3"/>
        <v>#REF!</v>
      </c>
      <c r="F27" s="53" t="e">
        <f t="shared" si="4"/>
        <v>#REF!</v>
      </c>
      <c r="G27" s="54" t="e">
        <f t="shared" si="0"/>
        <v>#REF!</v>
      </c>
      <c r="H27" s="54" t="e">
        <f t="shared" si="5"/>
        <v>#REF!</v>
      </c>
      <c r="I27" s="57"/>
      <c r="J27" s="39"/>
      <c r="K27" s="33" t="s">
        <v>27</v>
      </c>
      <c r="L27" s="33"/>
      <c r="M27" s="81" t="e">
        <f>基础数据!#REF!</f>
        <v>#REF!</v>
      </c>
      <c r="N27" s="81"/>
      <c r="O27" s="39"/>
      <c r="P27" s="39"/>
      <c r="Q27" s="39"/>
      <c r="R27" s="39"/>
      <c r="S27" s="39"/>
    </row>
    <row r="28" ht="18.6" customHeight="1" spans="1:19">
      <c r="A28" s="39"/>
      <c r="B28" s="47">
        <v>25</v>
      </c>
      <c r="C28" s="51">
        <f t="shared" si="1"/>
        <v>0.894</v>
      </c>
      <c r="D28" s="52" t="e">
        <f t="shared" si="2"/>
        <v>#REF!</v>
      </c>
      <c r="E28" s="53" t="e">
        <f t="shared" si="3"/>
        <v>#REF!</v>
      </c>
      <c r="F28" s="53" t="e">
        <f t="shared" si="4"/>
        <v>#REF!</v>
      </c>
      <c r="G28" s="54" t="e">
        <f t="shared" si="0"/>
        <v>#REF!</v>
      </c>
      <c r="H28" s="54" t="e">
        <f t="shared" si="5"/>
        <v>#REF!</v>
      </c>
      <c r="I28" s="57"/>
      <c r="J28" s="39"/>
      <c r="K28" s="33" t="s">
        <v>28</v>
      </c>
      <c r="L28" s="33"/>
      <c r="M28" s="81" t="e">
        <f>基础数据!#REF!</f>
        <v>#REF!</v>
      </c>
      <c r="N28" s="81"/>
      <c r="O28" s="39"/>
      <c r="P28" s="39"/>
      <c r="Q28" s="39"/>
      <c r="R28" s="39"/>
      <c r="S28" s="39"/>
    </row>
    <row r="29" ht="18.6" customHeight="1" spans="1:19">
      <c r="A29" s="39"/>
      <c r="B29" s="47">
        <v>26</v>
      </c>
      <c r="C29" s="51">
        <f t="shared" si="1"/>
        <v>0.89</v>
      </c>
      <c r="D29" s="52" t="e">
        <f t="shared" si="2"/>
        <v>#REF!</v>
      </c>
      <c r="E29" s="53" t="e">
        <f t="shared" si="3"/>
        <v>#REF!</v>
      </c>
      <c r="F29" s="53" t="e">
        <f t="shared" si="4"/>
        <v>#REF!</v>
      </c>
      <c r="G29" s="54" t="e">
        <f t="shared" si="0"/>
        <v>#REF!</v>
      </c>
      <c r="H29" s="54" t="e">
        <f t="shared" si="5"/>
        <v>#REF!</v>
      </c>
      <c r="J29" s="39"/>
      <c r="K29" s="33" t="s">
        <v>29</v>
      </c>
      <c r="L29" s="33"/>
      <c r="M29" s="81" t="e">
        <f>基础数据!#REF!</f>
        <v>#REF!</v>
      </c>
      <c r="N29" s="81"/>
      <c r="O29" s="39"/>
      <c r="P29" s="39"/>
      <c r="Q29" s="39"/>
      <c r="R29" s="39"/>
      <c r="S29" s="39"/>
    </row>
    <row r="30" ht="18.6" customHeight="1" spans="1:19">
      <c r="A30" s="39"/>
      <c r="B30" s="47">
        <v>27</v>
      </c>
      <c r="C30" s="51">
        <f t="shared" si="1"/>
        <v>0.886</v>
      </c>
      <c r="D30" s="52" t="e">
        <f t="shared" si="2"/>
        <v>#REF!</v>
      </c>
      <c r="E30" s="53" t="e">
        <f t="shared" si="3"/>
        <v>#REF!</v>
      </c>
      <c r="F30" s="53" t="e">
        <f t="shared" si="4"/>
        <v>#REF!</v>
      </c>
      <c r="G30" s="54" t="e">
        <f t="shared" si="0"/>
        <v>#REF!</v>
      </c>
      <c r="H30" s="54" t="e">
        <f t="shared" si="5"/>
        <v>#REF!</v>
      </c>
      <c r="J30" s="39"/>
      <c r="K30" s="33" t="s">
        <v>30</v>
      </c>
      <c r="L30" s="33"/>
      <c r="M30" s="81" t="e">
        <f>基础数据!#REF!</f>
        <v>#REF!</v>
      </c>
      <c r="N30" s="81"/>
      <c r="O30" s="39"/>
      <c r="P30" s="39"/>
      <c r="Q30" s="39"/>
      <c r="R30" s="39"/>
      <c r="S30" s="39"/>
    </row>
    <row r="31" ht="18.6" customHeight="1" spans="1:19">
      <c r="A31" s="39"/>
      <c r="B31" s="47">
        <v>28</v>
      </c>
      <c r="C31" s="51">
        <f t="shared" si="1"/>
        <v>0.882</v>
      </c>
      <c r="D31" s="52" t="e">
        <f t="shared" si="2"/>
        <v>#REF!</v>
      </c>
      <c r="E31" s="53" t="e">
        <f t="shared" si="3"/>
        <v>#REF!</v>
      </c>
      <c r="F31" s="53" t="e">
        <f t="shared" si="4"/>
        <v>#REF!</v>
      </c>
      <c r="G31" s="54" t="e">
        <f t="shared" si="0"/>
        <v>#REF!</v>
      </c>
      <c r="H31" s="54" t="e">
        <f t="shared" si="5"/>
        <v>#REF!</v>
      </c>
      <c r="J31" s="39"/>
      <c r="K31" s="33" t="s">
        <v>31</v>
      </c>
      <c r="L31" s="33"/>
      <c r="M31" s="81" t="e">
        <f>基础数据!#REF!</f>
        <v>#REF!</v>
      </c>
      <c r="N31" s="81"/>
      <c r="O31" s="39"/>
      <c r="P31" s="39"/>
      <c r="Q31" s="39"/>
      <c r="R31" s="39"/>
      <c r="S31" s="39"/>
    </row>
    <row r="32" ht="18.6" customHeight="1" spans="1:19">
      <c r="A32" s="39"/>
      <c r="B32" s="47">
        <v>29</v>
      </c>
      <c r="C32" s="51">
        <f t="shared" si="1"/>
        <v>0.878</v>
      </c>
      <c r="D32" s="52" t="e">
        <f t="shared" si="2"/>
        <v>#REF!</v>
      </c>
      <c r="E32" s="53" t="e">
        <f t="shared" si="3"/>
        <v>#REF!</v>
      </c>
      <c r="F32" s="53" t="e">
        <f t="shared" si="4"/>
        <v>#REF!</v>
      </c>
      <c r="G32" s="54" t="e">
        <f t="shared" si="0"/>
        <v>#REF!</v>
      </c>
      <c r="H32" s="54" t="e">
        <f t="shared" si="5"/>
        <v>#REF!</v>
      </c>
      <c r="J32" s="39"/>
      <c r="K32" s="33" t="s">
        <v>32</v>
      </c>
      <c r="L32" s="33"/>
      <c r="M32" s="81" t="e">
        <f>基础数据!#REF!</f>
        <v>#REF!</v>
      </c>
      <c r="N32" s="81"/>
      <c r="O32" s="39"/>
      <c r="P32" s="39"/>
      <c r="Q32" s="39"/>
      <c r="R32" s="39"/>
      <c r="S32" s="39"/>
    </row>
    <row r="33" ht="18.6" customHeight="1" spans="1:19">
      <c r="A33" s="39"/>
      <c r="B33" s="47">
        <v>30</v>
      </c>
      <c r="C33" s="51">
        <f t="shared" si="1"/>
        <v>0.874</v>
      </c>
      <c r="D33" s="52" t="e">
        <f t="shared" si="2"/>
        <v>#REF!</v>
      </c>
      <c r="E33" s="53" t="e">
        <f t="shared" si="3"/>
        <v>#REF!</v>
      </c>
      <c r="F33" s="53" t="e">
        <f t="shared" si="4"/>
        <v>#REF!</v>
      </c>
      <c r="G33" s="54" t="e">
        <f t="shared" si="0"/>
        <v>#REF!</v>
      </c>
      <c r="H33" s="54" t="e">
        <f t="shared" si="5"/>
        <v>#REF!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ht="18.6" customHeight="1" spans="1:8">
      <c r="A34" s="39"/>
      <c r="B34" s="55" t="s">
        <v>34</v>
      </c>
      <c r="C34" s="55"/>
      <c r="D34" s="56" t="e">
        <f>SUM(D4:D33)</f>
        <v>#REF!</v>
      </c>
      <c r="E34" s="56" t="e">
        <f>SUM(E4:E33)</f>
        <v>#REF!</v>
      </c>
      <c r="F34" s="56" t="e">
        <f>SUM(F4:F33)</f>
        <v>#REF!</v>
      </c>
      <c r="G34" s="56" t="e">
        <f>SUM(G4:G33)</f>
        <v>#REF!</v>
      </c>
      <c r="H34" s="46"/>
    </row>
    <row r="35" ht="18.6" customHeight="1" spans="1:8">
      <c r="A35" s="39" t="s">
        <v>99</v>
      </c>
      <c r="B35" s="46"/>
      <c r="C35" s="46"/>
      <c r="D35" s="46"/>
      <c r="E35" s="46"/>
      <c r="F35" s="46"/>
      <c r="G35" s="46"/>
      <c r="H35" s="46"/>
    </row>
    <row r="36" ht="22.5" customHeight="1" spans="4:4">
      <c r="D36" s="57"/>
    </row>
    <row r="37" ht="22.5" customHeight="1"/>
  </sheetData>
  <mergeCells count="38">
    <mergeCell ref="K1:S1"/>
    <mergeCell ref="B2:D2"/>
    <mergeCell ref="L8:P8"/>
    <mergeCell ref="K10:S10"/>
    <mergeCell ref="L17:P17"/>
    <mergeCell ref="K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B34:C34"/>
    <mergeCell ref="K2:K3"/>
    <mergeCell ref="K4:K5"/>
    <mergeCell ref="K11:K12"/>
    <mergeCell ref="K13:K14"/>
    <mergeCell ref="P4:P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74"/>
  <sheetViews>
    <sheetView zoomScale="85" zoomScaleNormal="85" workbookViewId="0">
      <selection activeCell="B2" sqref="B2:I36"/>
    </sheetView>
  </sheetViews>
  <sheetFormatPr defaultColWidth="9" defaultRowHeight="14.25"/>
  <cols>
    <col min="2" max="2" width="4.5" customWidth="1"/>
    <col min="3" max="4" width="12.5" customWidth="1"/>
    <col min="5" max="5" width="12.5" style="1" customWidth="1"/>
    <col min="6" max="7" width="12.5" customWidth="1"/>
    <col min="8" max="9" width="14.5" customWidth="1"/>
    <col min="10" max="10" width="11.625" customWidth="1"/>
    <col min="11" max="11" width="4.5" customWidth="1"/>
    <col min="12" max="15" width="12.5" customWidth="1"/>
    <col min="16" max="18" width="14.5" customWidth="1"/>
    <col min="21" max="21" width="13.875" customWidth="1"/>
    <col min="23" max="24" width="15.625" customWidth="1"/>
    <col min="25" max="25" width="13.875" customWidth="1"/>
  </cols>
  <sheetData>
    <row r="1" ht="15"/>
    <row r="2" ht="18" spans="2:25">
      <c r="B2" s="2" t="s">
        <v>246</v>
      </c>
      <c r="C2" s="3"/>
      <c r="D2" s="3"/>
      <c r="E2" s="4"/>
      <c r="F2" s="3"/>
      <c r="G2" s="3"/>
      <c r="H2" s="3"/>
      <c r="I2" s="20"/>
      <c r="K2" s="21" t="s">
        <v>247</v>
      </c>
      <c r="L2" s="22"/>
      <c r="M2" s="22"/>
      <c r="N2" s="22"/>
      <c r="O2" s="22"/>
      <c r="P2" s="22"/>
      <c r="Q2" s="22"/>
      <c r="R2" s="32"/>
      <c r="T2" s="17" t="s">
        <v>248</v>
      </c>
      <c r="U2" s="17"/>
      <c r="V2" s="17"/>
      <c r="W2" s="17"/>
      <c r="X2" s="17"/>
      <c r="Y2" s="39"/>
    </row>
    <row r="3" ht="18" spans="2:25">
      <c r="B3" s="5" t="s">
        <v>70</v>
      </c>
      <c r="C3" s="5" t="s">
        <v>20</v>
      </c>
      <c r="D3" s="5" t="s">
        <v>229</v>
      </c>
      <c r="E3" s="6" t="s">
        <v>230</v>
      </c>
      <c r="F3" s="5" t="s">
        <v>97</v>
      </c>
      <c r="G3" s="6" t="s">
        <v>98</v>
      </c>
      <c r="H3" s="6" t="s">
        <v>249</v>
      </c>
      <c r="I3" s="6" t="s">
        <v>231</v>
      </c>
      <c r="K3" s="23" t="s">
        <v>70</v>
      </c>
      <c r="L3" s="23" t="s">
        <v>20</v>
      </c>
      <c r="M3" s="23" t="s">
        <v>229</v>
      </c>
      <c r="N3" s="23" t="s">
        <v>97</v>
      </c>
      <c r="O3" s="23" t="s">
        <v>98</v>
      </c>
      <c r="P3" s="23" t="s">
        <v>250</v>
      </c>
      <c r="Q3" s="23" t="s">
        <v>249</v>
      </c>
      <c r="R3" s="23" t="s">
        <v>231</v>
      </c>
      <c r="T3" s="33" t="s">
        <v>251</v>
      </c>
      <c r="U3" s="33" t="s">
        <v>252</v>
      </c>
      <c r="V3" s="33" t="s">
        <v>253</v>
      </c>
      <c r="W3" s="33" t="s">
        <v>254</v>
      </c>
      <c r="X3" s="34" t="s">
        <v>255</v>
      </c>
      <c r="Y3" s="34" t="s">
        <v>256</v>
      </c>
    </row>
    <row r="4" ht="18" spans="2:25">
      <c r="B4" s="7">
        <v>0</v>
      </c>
      <c r="C4" s="8">
        <v>0</v>
      </c>
      <c r="D4" s="8">
        <v>0</v>
      </c>
      <c r="E4" s="9">
        <f>基础数据!H7</f>
        <v>2000000</v>
      </c>
      <c r="F4" s="7">
        <v>0</v>
      </c>
      <c r="G4" s="9">
        <v>0</v>
      </c>
      <c r="H4" s="10">
        <f>-E4</f>
        <v>-2000000</v>
      </c>
      <c r="I4" s="10">
        <f>H4</f>
        <v>-2000000</v>
      </c>
      <c r="J4" s="24"/>
      <c r="K4" s="23">
        <v>0</v>
      </c>
      <c r="L4" s="25">
        <v>0</v>
      </c>
      <c r="M4" s="25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T4" s="35">
        <v>0.0365</v>
      </c>
      <c r="U4" s="36">
        <f>E4</f>
        <v>2000000</v>
      </c>
      <c r="V4" s="36">
        <v>5</v>
      </c>
      <c r="W4" s="37">
        <f>PMT(T4/12,V4*12,U4)</f>
        <v>-36517.9946435762</v>
      </c>
      <c r="X4" s="38">
        <f>W4*12</f>
        <v>-438215.935722915</v>
      </c>
      <c r="Y4" s="40">
        <f>(-X4*V4)-U4</f>
        <v>191079.678614574</v>
      </c>
    </row>
    <row r="5" ht="18" spans="2:25">
      <c r="B5" s="7">
        <v>1</v>
      </c>
      <c r="C5" s="11" t="e">
        <f>光伏发电衰减表min!D4</f>
        <v>#REF!</v>
      </c>
      <c r="D5" s="11" t="e">
        <f>光伏发电衰减表min!G4</f>
        <v>#REF!</v>
      </c>
      <c r="E5" s="9">
        <v>0</v>
      </c>
      <c r="F5" s="7">
        <f>基础数据!J29</f>
        <v>30000</v>
      </c>
      <c r="G5" s="9">
        <f>基础数据!J27</f>
        <v>7000</v>
      </c>
      <c r="H5" s="12" t="e">
        <f>D5-F5-G5</f>
        <v>#REF!</v>
      </c>
      <c r="I5" s="10" t="e">
        <f>I4+H5</f>
        <v>#REF!</v>
      </c>
      <c r="J5" s="26"/>
      <c r="K5" s="23">
        <v>1</v>
      </c>
      <c r="L5" s="27" t="e">
        <f>光伏发电衰减表min!D4</f>
        <v>#REF!</v>
      </c>
      <c r="M5" s="27" t="e">
        <f>光伏发电衰减表min!G4</f>
        <v>#REF!</v>
      </c>
      <c r="N5" s="23">
        <f>基础数据!J29</f>
        <v>30000</v>
      </c>
      <c r="O5" s="28">
        <f>基础数据!J27</f>
        <v>7000</v>
      </c>
      <c r="P5" s="29">
        <f>X4</f>
        <v>-438215.935722915</v>
      </c>
      <c r="Q5" s="29" t="e">
        <f>M5-N5-O5+P5</f>
        <v>#REF!</v>
      </c>
      <c r="R5" s="29" t="e">
        <f>Q5+R4</f>
        <v>#REF!</v>
      </c>
      <c r="T5" s="39"/>
      <c r="U5" s="39"/>
      <c r="V5" s="39"/>
      <c r="W5" s="39"/>
      <c r="X5" s="39"/>
      <c r="Y5" s="39"/>
    </row>
    <row r="6" ht="17.25" spans="2:18">
      <c r="B6" s="7">
        <v>2</v>
      </c>
      <c r="C6" s="11" t="e">
        <f>光伏发电衰减表min!D5</f>
        <v>#REF!</v>
      </c>
      <c r="D6" s="11" t="e">
        <f>光伏发电衰减表min!G5</f>
        <v>#REF!</v>
      </c>
      <c r="E6" s="9">
        <v>0</v>
      </c>
      <c r="F6" s="7">
        <f>基础数据!J29</f>
        <v>30000</v>
      </c>
      <c r="G6" s="9">
        <f>基础数据!J27</f>
        <v>7000</v>
      </c>
      <c r="H6" s="12" t="e">
        <f>D6-F6-G6</f>
        <v>#REF!</v>
      </c>
      <c r="I6" s="10" t="e">
        <f>H6+I5</f>
        <v>#REF!</v>
      </c>
      <c r="J6" s="26"/>
      <c r="K6" s="23">
        <v>2</v>
      </c>
      <c r="L6" s="27" t="e">
        <f>光伏发电衰减表min!D5</f>
        <v>#REF!</v>
      </c>
      <c r="M6" s="27" t="e">
        <f>光伏发电衰减表min!G5</f>
        <v>#REF!</v>
      </c>
      <c r="N6" s="23">
        <f>基础数据!J29</f>
        <v>30000</v>
      </c>
      <c r="O6" s="28">
        <f>基础数据!J27</f>
        <v>7000</v>
      </c>
      <c r="P6" s="29">
        <f>X4</f>
        <v>-438215.935722915</v>
      </c>
      <c r="Q6" s="29" t="e">
        <f>M6-N6-O6+P6</f>
        <v>#REF!</v>
      </c>
      <c r="R6" s="29" t="e">
        <f>Q6+R5</f>
        <v>#REF!</v>
      </c>
    </row>
    <row r="7" ht="17.25" spans="2:18">
      <c r="B7" s="7">
        <v>3</v>
      </c>
      <c r="C7" s="11" t="e">
        <f>光伏发电衰减表min!D6</f>
        <v>#REF!</v>
      </c>
      <c r="D7" s="11" t="e">
        <f>光伏发电衰减表min!G6</f>
        <v>#REF!</v>
      </c>
      <c r="E7" s="9">
        <v>0</v>
      </c>
      <c r="F7" s="7">
        <f>基础数据!J29</f>
        <v>30000</v>
      </c>
      <c r="G7" s="9">
        <f>基础数据!J27</f>
        <v>7000</v>
      </c>
      <c r="H7" s="12" t="e">
        <f t="shared" ref="H7:H34" si="0">D7-F7-G7</f>
        <v>#REF!</v>
      </c>
      <c r="I7" s="10" t="e">
        <f>H7+I6</f>
        <v>#REF!</v>
      </c>
      <c r="J7" s="26"/>
      <c r="K7" s="23">
        <v>3</v>
      </c>
      <c r="L7" s="27" t="e">
        <f>光伏发电衰减表min!D6</f>
        <v>#REF!</v>
      </c>
      <c r="M7" s="27" t="e">
        <f>光伏发电衰减表min!G6</f>
        <v>#REF!</v>
      </c>
      <c r="N7" s="23">
        <f>基础数据!J29</f>
        <v>30000</v>
      </c>
      <c r="O7" s="28">
        <f>基础数据!J27</f>
        <v>7000</v>
      </c>
      <c r="P7" s="29">
        <f>X4</f>
        <v>-438215.935722915</v>
      </c>
      <c r="Q7" s="29" t="e">
        <f t="shared" ref="Q7:Q34" si="1">M7-N7-O7+P7</f>
        <v>#REF!</v>
      </c>
      <c r="R7" s="29" t="e">
        <f>Q7+R6</f>
        <v>#REF!</v>
      </c>
    </row>
    <row r="8" ht="17.25" spans="2:18">
      <c r="B8" s="7">
        <v>4</v>
      </c>
      <c r="C8" s="11" t="e">
        <f>光伏发电衰减表min!D7</f>
        <v>#REF!</v>
      </c>
      <c r="D8" s="11" t="e">
        <f>光伏发电衰减表min!G7</f>
        <v>#REF!</v>
      </c>
      <c r="E8" s="9">
        <v>0</v>
      </c>
      <c r="F8" s="7">
        <f>基础数据!J29</f>
        <v>30000</v>
      </c>
      <c r="G8" s="9">
        <f>基础数据!J27</f>
        <v>7000</v>
      </c>
      <c r="H8" s="12" t="e">
        <f t="shared" si="0"/>
        <v>#REF!</v>
      </c>
      <c r="I8" s="10" t="e">
        <f t="shared" ref="I8:I34" si="2">H8+I7</f>
        <v>#REF!</v>
      </c>
      <c r="J8" s="26"/>
      <c r="K8" s="23">
        <v>4</v>
      </c>
      <c r="L8" s="27" t="e">
        <f>光伏发电衰减表min!D7</f>
        <v>#REF!</v>
      </c>
      <c r="M8" s="27" t="e">
        <f>光伏发电衰减表min!G7</f>
        <v>#REF!</v>
      </c>
      <c r="N8" s="23">
        <f>基础数据!J29</f>
        <v>30000</v>
      </c>
      <c r="O8" s="28">
        <f>基础数据!J27</f>
        <v>7000</v>
      </c>
      <c r="P8" s="29">
        <f>X4</f>
        <v>-438215.935722915</v>
      </c>
      <c r="Q8" s="29" t="e">
        <f t="shared" si="1"/>
        <v>#REF!</v>
      </c>
      <c r="R8" s="29" t="e">
        <f t="shared" ref="R8:R34" si="3">Q8+R7</f>
        <v>#REF!</v>
      </c>
    </row>
    <row r="9" ht="17.25" spans="2:18">
      <c r="B9" s="13">
        <v>5</v>
      </c>
      <c r="C9" s="14" t="e">
        <f>光伏发电衰减表min!D8</f>
        <v>#REF!</v>
      </c>
      <c r="D9" s="14" t="e">
        <f>光伏发电衰减表min!G8</f>
        <v>#REF!</v>
      </c>
      <c r="E9" s="15">
        <v>0</v>
      </c>
      <c r="F9" s="13">
        <f>基础数据!J29</f>
        <v>30000</v>
      </c>
      <c r="G9" s="15">
        <f>基础数据!J27</f>
        <v>7000</v>
      </c>
      <c r="H9" s="16" t="e">
        <f t="shared" si="0"/>
        <v>#REF!</v>
      </c>
      <c r="I9" s="30" t="e">
        <f t="shared" si="2"/>
        <v>#REF!</v>
      </c>
      <c r="J9" s="26"/>
      <c r="K9" s="23">
        <v>5</v>
      </c>
      <c r="L9" s="27" t="e">
        <f>光伏发电衰减表min!D8</f>
        <v>#REF!</v>
      </c>
      <c r="M9" s="27" t="e">
        <f>光伏发电衰减表min!G8</f>
        <v>#REF!</v>
      </c>
      <c r="N9" s="23">
        <f>基础数据!J29</f>
        <v>30000</v>
      </c>
      <c r="O9" s="28">
        <f>基础数据!J27</f>
        <v>7000</v>
      </c>
      <c r="P9" s="29">
        <f>X4</f>
        <v>-438215.935722915</v>
      </c>
      <c r="Q9" s="29" t="e">
        <f t="shared" si="1"/>
        <v>#REF!</v>
      </c>
      <c r="R9" s="29" t="e">
        <f t="shared" si="3"/>
        <v>#REF!</v>
      </c>
    </row>
    <row r="10" ht="17.25" spans="2:18">
      <c r="B10" s="7">
        <v>6</v>
      </c>
      <c r="C10" s="11" t="e">
        <f>光伏发电衰减表min!D9</f>
        <v>#REF!</v>
      </c>
      <c r="D10" s="11" t="e">
        <f>光伏发电衰减表min!G9</f>
        <v>#REF!</v>
      </c>
      <c r="E10" s="9">
        <v>0</v>
      </c>
      <c r="F10" s="7">
        <f>基础数据!J29</f>
        <v>30000</v>
      </c>
      <c r="G10" s="9">
        <f>基础数据!J27</f>
        <v>7000</v>
      </c>
      <c r="H10" s="12" t="e">
        <f t="shared" si="0"/>
        <v>#REF!</v>
      </c>
      <c r="I10" s="10" t="e">
        <f t="shared" si="2"/>
        <v>#REF!</v>
      </c>
      <c r="J10" s="26"/>
      <c r="K10" s="23">
        <v>6</v>
      </c>
      <c r="L10" s="27" t="e">
        <f>光伏发电衰减表min!D9</f>
        <v>#REF!</v>
      </c>
      <c r="M10" s="27" t="e">
        <f>光伏发电衰减表min!G9</f>
        <v>#REF!</v>
      </c>
      <c r="N10" s="23">
        <f>基础数据!J29</f>
        <v>30000</v>
      </c>
      <c r="O10" s="28">
        <f>基础数据!J27</f>
        <v>7000</v>
      </c>
      <c r="P10" s="29">
        <v>0</v>
      </c>
      <c r="Q10" s="29" t="e">
        <f t="shared" si="1"/>
        <v>#REF!</v>
      </c>
      <c r="R10" s="29" t="e">
        <f t="shared" si="3"/>
        <v>#REF!</v>
      </c>
    </row>
    <row r="11" ht="17.25" spans="2:18">
      <c r="B11" s="7">
        <v>7</v>
      </c>
      <c r="C11" s="11" t="e">
        <f>光伏发电衰减表min!D10</f>
        <v>#REF!</v>
      </c>
      <c r="D11" s="11" t="e">
        <f>光伏发电衰减表min!G10</f>
        <v>#REF!</v>
      </c>
      <c r="E11" s="9">
        <v>0</v>
      </c>
      <c r="F11" s="7">
        <f>基础数据!J29</f>
        <v>30000</v>
      </c>
      <c r="G11" s="9">
        <f>基础数据!J27</f>
        <v>7000</v>
      </c>
      <c r="H11" s="12" t="e">
        <f t="shared" si="0"/>
        <v>#REF!</v>
      </c>
      <c r="I11" s="10" t="e">
        <f t="shared" si="2"/>
        <v>#REF!</v>
      </c>
      <c r="J11" s="26"/>
      <c r="K11" s="23">
        <v>7</v>
      </c>
      <c r="L11" s="27" t="e">
        <f>光伏发电衰减表min!D10</f>
        <v>#REF!</v>
      </c>
      <c r="M11" s="27" t="e">
        <f>光伏发电衰减表min!G10</f>
        <v>#REF!</v>
      </c>
      <c r="N11" s="23">
        <f>基础数据!J29</f>
        <v>30000</v>
      </c>
      <c r="O11" s="28">
        <f>基础数据!J27</f>
        <v>7000</v>
      </c>
      <c r="P11" s="29">
        <v>0</v>
      </c>
      <c r="Q11" s="29" t="e">
        <f t="shared" si="1"/>
        <v>#REF!</v>
      </c>
      <c r="R11" s="29" t="e">
        <f t="shared" si="3"/>
        <v>#REF!</v>
      </c>
    </row>
    <row r="12" ht="17.25" spans="2:18">
      <c r="B12" s="7">
        <v>8</v>
      </c>
      <c r="C12" s="11" t="e">
        <f>光伏发电衰减表min!D11</f>
        <v>#REF!</v>
      </c>
      <c r="D12" s="11" t="e">
        <f>光伏发电衰减表min!G11</f>
        <v>#REF!</v>
      </c>
      <c r="E12" s="9">
        <v>0</v>
      </c>
      <c r="F12" s="7">
        <f>基础数据!J29</f>
        <v>30000</v>
      </c>
      <c r="G12" s="9">
        <f>基础数据!J27</f>
        <v>7000</v>
      </c>
      <c r="H12" s="12" t="e">
        <f t="shared" si="0"/>
        <v>#REF!</v>
      </c>
      <c r="I12" s="10" t="e">
        <f t="shared" si="2"/>
        <v>#REF!</v>
      </c>
      <c r="J12" s="26"/>
      <c r="K12" s="23">
        <v>8</v>
      </c>
      <c r="L12" s="27" t="e">
        <f>光伏发电衰减表min!D11</f>
        <v>#REF!</v>
      </c>
      <c r="M12" s="27" t="e">
        <f>光伏发电衰减表min!G11</f>
        <v>#REF!</v>
      </c>
      <c r="N12" s="23">
        <f>基础数据!J29</f>
        <v>30000</v>
      </c>
      <c r="O12" s="28">
        <f>基础数据!J27</f>
        <v>7000</v>
      </c>
      <c r="P12" s="29">
        <v>0</v>
      </c>
      <c r="Q12" s="29" t="e">
        <f t="shared" si="1"/>
        <v>#REF!</v>
      </c>
      <c r="R12" s="29" t="e">
        <f t="shared" si="3"/>
        <v>#REF!</v>
      </c>
    </row>
    <row r="13" ht="17.25" spans="2:18">
      <c r="B13" s="7">
        <v>9</v>
      </c>
      <c r="C13" s="11" t="e">
        <f>光伏发电衰减表min!D12</f>
        <v>#REF!</v>
      </c>
      <c r="D13" s="11" t="e">
        <f>光伏发电衰减表min!G12</f>
        <v>#REF!</v>
      </c>
      <c r="E13" s="9">
        <v>0</v>
      </c>
      <c r="F13" s="7">
        <f>基础数据!J29</f>
        <v>30000</v>
      </c>
      <c r="G13" s="9">
        <f>基础数据!J27</f>
        <v>7000</v>
      </c>
      <c r="H13" s="12" t="e">
        <f t="shared" si="0"/>
        <v>#REF!</v>
      </c>
      <c r="I13" s="10" t="e">
        <f t="shared" si="2"/>
        <v>#REF!</v>
      </c>
      <c r="J13" s="26"/>
      <c r="K13" s="23">
        <v>9</v>
      </c>
      <c r="L13" s="27" t="e">
        <f>光伏发电衰减表min!D12</f>
        <v>#REF!</v>
      </c>
      <c r="M13" s="27" t="e">
        <f>光伏发电衰减表min!G12</f>
        <v>#REF!</v>
      </c>
      <c r="N13" s="23">
        <f>基础数据!J29</f>
        <v>30000</v>
      </c>
      <c r="O13" s="28">
        <f>基础数据!J27</f>
        <v>7000</v>
      </c>
      <c r="P13" s="29">
        <v>0</v>
      </c>
      <c r="Q13" s="29" t="e">
        <f t="shared" si="1"/>
        <v>#REF!</v>
      </c>
      <c r="R13" s="29" t="e">
        <f t="shared" si="3"/>
        <v>#REF!</v>
      </c>
    </row>
    <row r="14" ht="17.25" spans="2:18">
      <c r="B14" s="7">
        <v>10</v>
      </c>
      <c r="C14" s="11" t="e">
        <f>光伏发电衰减表min!D13</f>
        <v>#REF!</v>
      </c>
      <c r="D14" s="11" t="e">
        <f>光伏发电衰减表min!G13</f>
        <v>#REF!</v>
      </c>
      <c r="E14" s="9">
        <v>0</v>
      </c>
      <c r="F14" s="7">
        <f>基础数据!J29</f>
        <v>30000</v>
      </c>
      <c r="G14" s="9">
        <f>基础数据!J27</f>
        <v>7000</v>
      </c>
      <c r="H14" s="12" t="e">
        <f t="shared" si="0"/>
        <v>#REF!</v>
      </c>
      <c r="I14" s="10" t="e">
        <f t="shared" si="2"/>
        <v>#REF!</v>
      </c>
      <c r="J14" s="26"/>
      <c r="K14" s="23">
        <v>10</v>
      </c>
      <c r="L14" s="27" t="e">
        <f>光伏发电衰减表min!D13</f>
        <v>#REF!</v>
      </c>
      <c r="M14" s="27" t="e">
        <f>光伏发电衰减表min!G13</f>
        <v>#REF!</v>
      </c>
      <c r="N14" s="23">
        <f>基础数据!J29</f>
        <v>30000</v>
      </c>
      <c r="O14" s="28">
        <f>基础数据!J27</f>
        <v>7000</v>
      </c>
      <c r="P14" s="29">
        <v>0</v>
      </c>
      <c r="Q14" s="29" t="e">
        <f t="shared" si="1"/>
        <v>#REF!</v>
      </c>
      <c r="R14" s="29" t="e">
        <f t="shared" si="3"/>
        <v>#REF!</v>
      </c>
    </row>
    <row r="15" ht="17.25" spans="2:18">
      <c r="B15" s="7">
        <v>11</v>
      </c>
      <c r="C15" s="11" t="e">
        <f>光伏发电衰减表min!D14</f>
        <v>#REF!</v>
      </c>
      <c r="D15" s="11" t="e">
        <f>光伏发电衰减表min!G14</f>
        <v>#REF!</v>
      </c>
      <c r="E15" s="9">
        <v>0</v>
      </c>
      <c r="F15" s="7">
        <f>基础数据!J29</f>
        <v>30000</v>
      </c>
      <c r="G15" s="9">
        <f>基础数据!J27</f>
        <v>7000</v>
      </c>
      <c r="H15" s="12" t="e">
        <f t="shared" si="0"/>
        <v>#REF!</v>
      </c>
      <c r="I15" s="10" t="e">
        <f t="shared" si="2"/>
        <v>#REF!</v>
      </c>
      <c r="J15" s="26"/>
      <c r="K15" s="23">
        <v>11</v>
      </c>
      <c r="L15" s="27" t="e">
        <f>光伏发电衰减表min!D14</f>
        <v>#REF!</v>
      </c>
      <c r="M15" s="27" t="e">
        <f>光伏发电衰减表min!G14</f>
        <v>#REF!</v>
      </c>
      <c r="N15" s="23">
        <f>基础数据!J29</f>
        <v>30000</v>
      </c>
      <c r="O15" s="28">
        <f>基础数据!J27</f>
        <v>7000</v>
      </c>
      <c r="P15" s="29">
        <v>0</v>
      </c>
      <c r="Q15" s="29" t="e">
        <f t="shared" si="1"/>
        <v>#REF!</v>
      </c>
      <c r="R15" s="29" t="e">
        <f t="shared" si="3"/>
        <v>#REF!</v>
      </c>
    </row>
    <row r="16" ht="17.25" spans="2:18">
      <c r="B16" s="7">
        <v>12</v>
      </c>
      <c r="C16" s="11" t="e">
        <f>光伏发电衰减表min!D15</f>
        <v>#REF!</v>
      </c>
      <c r="D16" s="11" t="e">
        <f>光伏发电衰减表min!G15</f>
        <v>#REF!</v>
      </c>
      <c r="E16" s="9">
        <v>0</v>
      </c>
      <c r="F16" s="7">
        <f>基础数据!J29</f>
        <v>30000</v>
      </c>
      <c r="G16" s="9">
        <f>基础数据!J27</f>
        <v>7000</v>
      </c>
      <c r="H16" s="12" t="e">
        <f t="shared" si="0"/>
        <v>#REF!</v>
      </c>
      <c r="I16" s="10" t="e">
        <f t="shared" si="2"/>
        <v>#REF!</v>
      </c>
      <c r="J16" s="26"/>
      <c r="K16" s="23">
        <v>12</v>
      </c>
      <c r="L16" s="27" t="e">
        <f>光伏发电衰减表min!D15</f>
        <v>#REF!</v>
      </c>
      <c r="M16" s="27" t="e">
        <f>光伏发电衰减表min!G15</f>
        <v>#REF!</v>
      </c>
      <c r="N16" s="23">
        <f>基础数据!J29</f>
        <v>30000</v>
      </c>
      <c r="O16" s="28">
        <f>基础数据!J27</f>
        <v>7000</v>
      </c>
      <c r="P16" s="29">
        <v>0</v>
      </c>
      <c r="Q16" s="29" t="e">
        <f t="shared" si="1"/>
        <v>#REF!</v>
      </c>
      <c r="R16" s="29" t="e">
        <f t="shared" si="3"/>
        <v>#REF!</v>
      </c>
    </row>
    <row r="17" ht="17.25" spans="2:18">
      <c r="B17" s="7">
        <v>13</v>
      </c>
      <c r="C17" s="11" t="e">
        <f>光伏发电衰减表min!D16</f>
        <v>#REF!</v>
      </c>
      <c r="D17" s="11" t="e">
        <f>光伏发电衰减表min!G16</f>
        <v>#REF!</v>
      </c>
      <c r="E17" s="9">
        <v>0</v>
      </c>
      <c r="F17" s="7">
        <f>基础数据!J29</f>
        <v>30000</v>
      </c>
      <c r="G17" s="9">
        <f>基础数据!J27</f>
        <v>7000</v>
      </c>
      <c r="H17" s="12" t="e">
        <f t="shared" si="0"/>
        <v>#REF!</v>
      </c>
      <c r="I17" s="10" t="e">
        <f t="shared" si="2"/>
        <v>#REF!</v>
      </c>
      <c r="J17" s="26"/>
      <c r="K17" s="23">
        <v>13</v>
      </c>
      <c r="L17" s="27" t="e">
        <f>光伏发电衰减表min!D16</f>
        <v>#REF!</v>
      </c>
      <c r="M17" s="27" t="e">
        <f>光伏发电衰减表min!G16</f>
        <v>#REF!</v>
      </c>
      <c r="N17" s="23">
        <f>基础数据!J29</f>
        <v>30000</v>
      </c>
      <c r="O17" s="28">
        <f>基础数据!J27</f>
        <v>7000</v>
      </c>
      <c r="P17" s="29">
        <v>0</v>
      </c>
      <c r="Q17" s="29" t="e">
        <f t="shared" si="1"/>
        <v>#REF!</v>
      </c>
      <c r="R17" s="29" t="e">
        <f t="shared" si="3"/>
        <v>#REF!</v>
      </c>
    </row>
    <row r="18" ht="17.25" spans="2:18">
      <c r="B18" s="7">
        <v>14</v>
      </c>
      <c r="C18" s="11" t="e">
        <f>光伏发电衰减表min!D17</f>
        <v>#REF!</v>
      </c>
      <c r="D18" s="11" t="e">
        <f>光伏发电衰减表min!G17</f>
        <v>#REF!</v>
      </c>
      <c r="E18" s="9">
        <v>0</v>
      </c>
      <c r="F18" s="7">
        <f>基础数据!J29</f>
        <v>30000</v>
      </c>
      <c r="G18" s="9">
        <f>基础数据!J27</f>
        <v>7000</v>
      </c>
      <c r="H18" s="12" t="e">
        <f t="shared" si="0"/>
        <v>#REF!</v>
      </c>
      <c r="I18" s="10" t="e">
        <f t="shared" si="2"/>
        <v>#REF!</v>
      </c>
      <c r="J18" s="26"/>
      <c r="K18" s="23">
        <v>14</v>
      </c>
      <c r="L18" s="27" t="e">
        <f>光伏发电衰减表min!D17</f>
        <v>#REF!</v>
      </c>
      <c r="M18" s="27" t="e">
        <f>光伏发电衰减表min!G17</f>
        <v>#REF!</v>
      </c>
      <c r="N18" s="23">
        <f>基础数据!J29</f>
        <v>30000</v>
      </c>
      <c r="O18" s="28">
        <f>基础数据!J27</f>
        <v>7000</v>
      </c>
      <c r="P18" s="29">
        <v>0</v>
      </c>
      <c r="Q18" s="29" t="e">
        <f t="shared" si="1"/>
        <v>#REF!</v>
      </c>
      <c r="R18" s="29" t="e">
        <f t="shared" si="3"/>
        <v>#REF!</v>
      </c>
    </row>
    <row r="19" ht="17.25" spans="2:18">
      <c r="B19" s="7">
        <v>15</v>
      </c>
      <c r="C19" s="11" t="e">
        <f>光伏发电衰减表min!D18</f>
        <v>#REF!</v>
      </c>
      <c r="D19" s="11" t="e">
        <f>光伏发电衰减表min!G18</f>
        <v>#REF!</v>
      </c>
      <c r="E19" s="9">
        <v>0</v>
      </c>
      <c r="F19" s="7">
        <f>基础数据!J29</f>
        <v>30000</v>
      </c>
      <c r="G19" s="9">
        <f>基础数据!J27</f>
        <v>7000</v>
      </c>
      <c r="H19" s="12" t="e">
        <f t="shared" si="0"/>
        <v>#REF!</v>
      </c>
      <c r="I19" s="10" t="e">
        <f t="shared" si="2"/>
        <v>#REF!</v>
      </c>
      <c r="J19" s="26"/>
      <c r="K19" s="23">
        <v>15</v>
      </c>
      <c r="L19" s="27" t="e">
        <f>光伏发电衰减表min!D18</f>
        <v>#REF!</v>
      </c>
      <c r="M19" s="27" t="e">
        <f>光伏发电衰减表min!G18</f>
        <v>#REF!</v>
      </c>
      <c r="N19" s="23">
        <f>基础数据!J29</f>
        <v>30000</v>
      </c>
      <c r="O19" s="28">
        <f>基础数据!J27</f>
        <v>7000</v>
      </c>
      <c r="P19" s="29">
        <v>0</v>
      </c>
      <c r="Q19" s="29" t="e">
        <f t="shared" si="1"/>
        <v>#REF!</v>
      </c>
      <c r="R19" s="29" t="e">
        <f t="shared" si="3"/>
        <v>#REF!</v>
      </c>
    </row>
    <row r="20" ht="17.25" spans="2:18">
      <c r="B20" s="7">
        <v>16</v>
      </c>
      <c r="C20" s="11" t="e">
        <f>光伏发电衰减表min!D19</f>
        <v>#REF!</v>
      </c>
      <c r="D20" s="11" t="e">
        <f>光伏发电衰减表min!G19</f>
        <v>#REF!</v>
      </c>
      <c r="E20" s="9">
        <v>0</v>
      </c>
      <c r="F20" s="7">
        <f>基础数据!J29</f>
        <v>30000</v>
      </c>
      <c r="G20" s="9">
        <f>基础数据!J27</f>
        <v>7000</v>
      </c>
      <c r="H20" s="12" t="e">
        <f t="shared" si="0"/>
        <v>#REF!</v>
      </c>
      <c r="I20" s="10" t="e">
        <f t="shared" si="2"/>
        <v>#REF!</v>
      </c>
      <c r="J20" s="26"/>
      <c r="K20" s="23">
        <v>16</v>
      </c>
      <c r="L20" s="27" t="e">
        <f>光伏发电衰减表min!D19</f>
        <v>#REF!</v>
      </c>
      <c r="M20" s="27" t="e">
        <f>光伏发电衰减表min!G19</f>
        <v>#REF!</v>
      </c>
      <c r="N20" s="23">
        <f>基础数据!J29</f>
        <v>30000</v>
      </c>
      <c r="O20" s="28">
        <f>基础数据!J27</f>
        <v>7000</v>
      </c>
      <c r="P20" s="29">
        <v>0</v>
      </c>
      <c r="Q20" s="29" t="e">
        <f t="shared" si="1"/>
        <v>#REF!</v>
      </c>
      <c r="R20" s="29" t="e">
        <f t="shared" si="3"/>
        <v>#REF!</v>
      </c>
    </row>
    <row r="21" ht="17.25" spans="2:18">
      <c r="B21" s="7">
        <v>17</v>
      </c>
      <c r="C21" s="11" t="e">
        <f>光伏发电衰减表min!D20</f>
        <v>#REF!</v>
      </c>
      <c r="D21" s="11" t="e">
        <f>光伏发电衰减表min!G20</f>
        <v>#REF!</v>
      </c>
      <c r="E21" s="9">
        <v>0</v>
      </c>
      <c r="F21" s="7">
        <f>基础数据!J29</f>
        <v>30000</v>
      </c>
      <c r="G21" s="9">
        <f>基础数据!J27</f>
        <v>7000</v>
      </c>
      <c r="H21" s="12" t="e">
        <f t="shared" si="0"/>
        <v>#REF!</v>
      </c>
      <c r="I21" s="10" t="e">
        <f t="shared" si="2"/>
        <v>#REF!</v>
      </c>
      <c r="J21" s="26"/>
      <c r="K21" s="23">
        <v>17</v>
      </c>
      <c r="L21" s="27" t="e">
        <f>光伏发电衰减表min!D20</f>
        <v>#REF!</v>
      </c>
      <c r="M21" s="27" t="e">
        <f>光伏发电衰减表min!G20</f>
        <v>#REF!</v>
      </c>
      <c r="N21" s="23">
        <f>基础数据!J29</f>
        <v>30000</v>
      </c>
      <c r="O21" s="28">
        <f>基础数据!J27</f>
        <v>7000</v>
      </c>
      <c r="P21" s="29">
        <v>0</v>
      </c>
      <c r="Q21" s="29" t="e">
        <f t="shared" si="1"/>
        <v>#REF!</v>
      </c>
      <c r="R21" s="29" t="e">
        <f t="shared" si="3"/>
        <v>#REF!</v>
      </c>
    </row>
    <row r="22" ht="17.25" spans="2:18">
      <c r="B22" s="7">
        <v>18</v>
      </c>
      <c r="C22" s="11" t="e">
        <f>光伏发电衰减表min!D21</f>
        <v>#REF!</v>
      </c>
      <c r="D22" s="11" t="e">
        <f>光伏发电衰减表min!G21</f>
        <v>#REF!</v>
      </c>
      <c r="E22" s="9">
        <v>0</v>
      </c>
      <c r="F22" s="7">
        <f>基础数据!J29</f>
        <v>30000</v>
      </c>
      <c r="G22" s="9">
        <f>基础数据!J27</f>
        <v>7000</v>
      </c>
      <c r="H22" s="12" t="e">
        <f t="shared" si="0"/>
        <v>#REF!</v>
      </c>
      <c r="I22" s="10" t="e">
        <f t="shared" si="2"/>
        <v>#REF!</v>
      </c>
      <c r="J22" s="26"/>
      <c r="K22" s="23">
        <v>18</v>
      </c>
      <c r="L22" s="27" t="e">
        <f>光伏发电衰减表min!D21</f>
        <v>#REF!</v>
      </c>
      <c r="M22" s="27" t="e">
        <f>光伏发电衰减表min!G21</f>
        <v>#REF!</v>
      </c>
      <c r="N22" s="23">
        <f>基础数据!J29</f>
        <v>30000</v>
      </c>
      <c r="O22" s="28">
        <f>基础数据!J27</f>
        <v>7000</v>
      </c>
      <c r="P22" s="29">
        <v>0</v>
      </c>
      <c r="Q22" s="29" t="e">
        <f t="shared" si="1"/>
        <v>#REF!</v>
      </c>
      <c r="R22" s="29" t="e">
        <f t="shared" si="3"/>
        <v>#REF!</v>
      </c>
    </row>
    <row r="23" ht="17.25" spans="2:18">
      <c r="B23" s="7">
        <v>19</v>
      </c>
      <c r="C23" s="11" t="e">
        <f>光伏发电衰减表min!D22</f>
        <v>#REF!</v>
      </c>
      <c r="D23" s="11" t="e">
        <f>光伏发电衰减表min!G22</f>
        <v>#REF!</v>
      </c>
      <c r="E23" s="9">
        <v>0</v>
      </c>
      <c r="F23" s="7">
        <f>基础数据!J29</f>
        <v>30000</v>
      </c>
      <c r="G23" s="9">
        <f>基础数据!J27</f>
        <v>7000</v>
      </c>
      <c r="H23" s="12" t="e">
        <f t="shared" si="0"/>
        <v>#REF!</v>
      </c>
      <c r="I23" s="10" t="e">
        <f t="shared" si="2"/>
        <v>#REF!</v>
      </c>
      <c r="J23" s="26"/>
      <c r="K23" s="23">
        <v>19</v>
      </c>
      <c r="L23" s="27" t="e">
        <f>光伏发电衰减表min!D22</f>
        <v>#REF!</v>
      </c>
      <c r="M23" s="27" t="e">
        <f>光伏发电衰减表min!G22</f>
        <v>#REF!</v>
      </c>
      <c r="N23" s="23">
        <f>基础数据!J29</f>
        <v>30000</v>
      </c>
      <c r="O23" s="28">
        <f>基础数据!J27</f>
        <v>7000</v>
      </c>
      <c r="P23" s="29">
        <v>0</v>
      </c>
      <c r="Q23" s="29" t="e">
        <f t="shared" si="1"/>
        <v>#REF!</v>
      </c>
      <c r="R23" s="29" t="e">
        <f t="shared" si="3"/>
        <v>#REF!</v>
      </c>
    </row>
    <row r="24" ht="17.25" spans="2:18">
      <c r="B24" s="7">
        <v>20</v>
      </c>
      <c r="C24" s="11" t="e">
        <f>光伏发电衰减表min!D23</f>
        <v>#REF!</v>
      </c>
      <c r="D24" s="11" t="e">
        <f>光伏发电衰减表min!G23</f>
        <v>#REF!</v>
      </c>
      <c r="E24" s="9">
        <v>0</v>
      </c>
      <c r="F24" s="7">
        <f>基础数据!J29</f>
        <v>30000</v>
      </c>
      <c r="G24" s="9">
        <f>基础数据!J27</f>
        <v>7000</v>
      </c>
      <c r="H24" s="12" t="e">
        <f t="shared" si="0"/>
        <v>#REF!</v>
      </c>
      <c r="I24" s="10" t="e">
        <f t="shared" si="2"/>
        <v>#REF!</v>
      </c>
      <c r="J24" s="26"/>
      <c r="K24" s="23">
        <v>20</v>
      </c>
      <c r="L24" s="27" t="e">
        <f>光伏发电衰减表min!D23</f>
        <v>#REF!</v>
      </c>
      <c r="M24" s="27" t="e">
        <f>光伏发电衰减表min!G23</f>
        <v>#REF!</v>
      </c>
      <c r="N24" s="23">
        <f>基础数据!J29</f>
        <v>30000</v>
      </c>
      <c r="O24" s="28">
        <f>基础数据!J27</f>
        <v>7000</v>
      </c>
      <c r="P24" s="29">
        <v>0</v>
      </c>
      <c r="Q24" s="29" t="e">
        <f t="shared" si="1"/>
        <v>#REF!</v>
      </c>
      <c r="R24" s="29" t="e">
        <f t="shared" si="3"/>
        <v>#REF!</v>
      </c>
    </row>
    <row r="25" ht="17.25" spans="2:18">
      <c r="B25" s="7">
        <v>21</v>
      </c>
      <c r="C25" s="11" t="e">
        <f>光伏发电衰减表min!D24</f>
        <v>#REF!</v>
      </c>
      <c r="D25" s="11" t="e">
        <f>光伏发电衰减表min!G24</f>
        <v>#REF!</v>
      </c>
      <c r="E25" s="9">
        <v>0</v>
      </c>
      <c r="F25" s="7">
        <f>基础数据!J29</f>
        <v>30000</v>
      </c>
      <c r="G25" s="9">
        <f>基础数据!J27</f>
        <v>7000</v>
      </c>
      <c r="H25" s="12" t="e">
        <f t="shared" si="0"/>
        <v>#REF!</v>
      </c>
      <c r="I25" s="10" t="e">
        <f t="shared" si="2"/>
        <v>#REF!</v>
      </c>
      <c r="J25" s="26"/>
      <c r="K25" s="23">
        <v>21</v>
      </c>
      <c r="L25" s="27" t="e">
        <f>光伏发电衰减表min!D24</f>
        <v>#REF!</v>
      </c>
      <c r="M25" s="27" t="e">
        <f>光伏发电衰减表min!G24</f>
        <v>#REF!</v>
      </c>
      <c r="N25" s="23">
        <f>基础数据!J29</f>
        <v>30000</v>
      </c>
      <c r="O25" s="28">
        <f>基础数据!J27</f>
        <v>7000</v>
      </c>
      <c r="P25" s="29">
        <v>0</v>
      </c>
      <c r="Q25" s="29" t="e">
        <f t="shared" si="1"/>
        <v>#REF!</v>
      </c>
      <c r="R25" s="29" t="e">
        <f t="shared" si="3"/>
        <v>#REF!</v>
      </c>
    </row>
    <row r="26" ht="17.25" spans="2:18">
      <c r="B26" s="7">
        <v>22</v>
      </c>
      <c r="C26" s="11" t="e">
        <f>光伏发电衰减表min!D25</f>
        <v>#REF!</v>
      </c>
      <c r="D26" s="11" t="e">
        <f>光伏发电衰减表min!G25</f>
        <v>#REF!</v>
      </c>
      <c r="E26" s="9">
        <v>0</v>
      </c>
      <c r="F26" s="7">
        <f>基础数据!J29</f>
        <v>30000</v>
      </c>
      <c r="G26" s="9">
        <f>基础数据!J27</f>
        <v>7000</v>
      </c>
      <c r="H26" s="12" t="e">
        <f t="shared" si="0"/>
        <v>#REF!</v>
      </c>
      <c r="I26" s="10" t="e">
        <f t="shared" si="2"/>
        <v>#REF!</v>
      </c>
      <c r="J26" s="26"/>
      <c r="K26" s="23">
        <v>22</v>
      </c>
      <c r="L26" s="27" t="e">
        <f>光伏发电衰减表min!D25</f>
        <v>#REF!</v>
      </c>
      <c r="M26" s="27" t="e">
        <f>光伏发电衰减表min!G25</f>
        <v>#REF!</v>
      </c>
      <c r="N26" s="23">
        <f>基础数据!J29</f>
        <v>30000</v>
      </c>
      <c r="O26" s="28">
        <f>基础数据!J27</f>
        <v>7000</v>
      </c>
      <c r="P26" s="29">
        <v>0</v>
      </c>
      <c r="Q26" s="29" t="e">
        <f t="shared" si="1"/>
        <v>#REF!</v>
      </c>
      <c r="R26" s="29" t="e">
        <f t="shared" si="3"/>
        <v>#REF!</v>
      </c>
    </row>
    <row r="27" ht="17.25" spans="2:18">
      <c r="B27" s="7">
        <v>23</v>
      </c>
      <c r="C27" s="11" t="e">
        <f>光伏发电衰减表min!D26</f>
        <v>#REF!</v>
      </c>
      <c r="D27" s="11" t="e">
        <f>光伏发电衰减表min!G26</f>
        <v>#REF!</v>
      </c>
      <c r="E27" s="9">
        <v>0</v>
      </c>
      <c r="F27" s="7">
        <f>基础数据!J29</f>
        <v>30000</v>
      </c>
      <c r="G27" s="9">
        <f>基础数据!J27</f>
        <v>7000</v>
      </c>
      <c r="H27" s="12" t="e">
        <f t="shared" si="0"/>
        <v>#REF!</v>
      </c>
      <c r="I27" s="10" t="e">
        <f t="shared" si="2"/>
        <v>#REF!</v>
      </c>
      <c r="J27" s="26"/>
      <c r="K27" s="23">
        <v>23</v>
      </c>
      <c r="L27" s="27" t="e">
        <f>光伏发电衰减表min!D26</f>
        <v>#REF!</v>
      </c>
      <c r="M27" s="27" t="e">
        <f>光伏发电衰减表min!G26</f>
        <v>#REF!</v>
      </c>
      <c r="N27" s="23">
        <f>基础数据!J29</f>
        <v>30000</v>
      </c>
      <c r="O27" s="28">
        <f>基础数据!J27</f>
        <v>7000</v>
      </c>
      <c r="P27" s="29">
        <v>0</v>
      </c>
      <c r="Q27" s="29" t="e">
        <f t="shared" si="1"/>
        <v>#REF!</v>
      </c>
      <c r="R27" s="29" t="e">
        <f t="shared" si="3"/>
        <v>#REF!</v>
      </c>
    </row>
    <row r="28" ht="17.25" spans="2:18">
      <c r="B28" s="7">
        <v>24</v>
      </c>
      <c r="C28" s="11" t="e">
        <f>光伏发电衰减表min!D27</f>
        <v>#REF!</v>
      </c>
      <c r="D28" s="11" t="e">
        <f>光伏发电衰减表min!G27</f>
        <v>#REF!</v>
      </c>
      <c r="E28" s="9">
        <v>0</v>
      </c>
      <c r="F28" s="7">
        <f>基础数据!J29</f>
        <v>30000</v>
      </c>
      <c r="G28" s="9">
        <f>基础数据!J27</f>
        <v>7000</v>
      </c>
      <c r="H28" s="12" t="e">
        <f t="shared" si="0"/>
        <v>#REF!</v>
      </c>
      <c r="I28" s="10" t="e">
        <f t="shared" si="2"/>
        <v>#REF!</v>
      </c>
      <c r="J28" s="26"/>
      <c r="K28" s="23">
        <v>24</v>
      </c>
      <c r="L28" s="27" t="e">
        <f>光伏发电衰减表min!D27</f>
        <v>#REF!</v>
      </c>
      <c r="M28" s="27" t="e">
        <f>光伏发电衰减表min!G27</f>
        <v>#REF!</v>
      </c>
      <c r="N28" s="23">
        <f>基础数据!J29</f>
        <v>30000</v>
      </c>
      <c r="O28" s="28">
        <f>基础数据!J27</f>
        <v>7000</v>
      </c>
      <c r="P28" s="29">
        <v>0</v>
      </c>
      <c r="Q28" s="29" t="e">
        <f t="shared" si="1"/>
        <v>#REF!</v>
      </c>
      <c r="R28" s="29" t="e">
        <f t="shared" si="3"/>
        <v>#REF!</v>
      </c>
    </row>
    <row r="29" ht="17.25" spans="2:18">
      <c r="B29" s="7">
        <v>25</v>
      </c>
      <c r="C29" s="11" t="e">
        <f>光伏发电衰减表min!D28</f>
        <v>#REF!</v>
      </c>
      <c r="D29" s="11" t="e">
        <f>光伏发电衰减表min!G28</f>
        <v>#REF!</v>
      </c>
      <c r="E29" s="9">
        <v>0</v>
      </c>
      <c r="F29" s="7">
        <f>基础数据!J29</f>
        <v>30000</v>
      </c>
      <c r="G29" s="9">
        <f>基础数据!J27</f>
        <v>7000</v>
      </c>
      <c r="H29" s="12" t="e">
        <f t="shared" si="0"/>
        <v>#REF!</v>
      </c>
      <c r="I29" s="10" t="e">
        <f t="shared" si="2"/>
        <v>#REF!</v>
      </c>
      <c r="J29" s="26"/>
      <c r="K29" s="23">
        <v>25</v>
      </c>
      <c r="L29" s="27" t="e">
        <f>光伏发电衰减表min!D28</f>
        <v>#REF!</v>
      </c>
      <c r="M29" s="27" t="e">
        <f>光伏发电衰减表min!G28</f>
        <v>#REF!</v>
      </c>
      <c r="N29" s="23">
        <f>基础数据!J29</f>
        <v>30000</v>
      </c>
      <c r="O29" s="28">
        <f>基础数据!J27</f>
        <v>7000</v>
      </c>
      <c r="P29" s="29">
        <v>0</v>
      </c>
      <c r="Q29" s="29" t="e">
        <f t="shared" si="1"/>
        <v>#REF!</v>
      </c>
      <c r="R29" s="29" t="e">
        <f t="shared" si="3"/>
        <v>#REF!</v>
      </c>
    </row>
    <row r="30" ht="17.25" spans="2:18">
      <c r="B30" s="7">
        <v>26</v>
      </c>
      <c r="C30" s="11" t="e">
        <f>光伏发电衰减表min!D29</f>
        <v>#REF!</v>
      </c>
      <c r="D30" s="11" t="e">
        <f>光伏发电衰减表min!G29</f>
        <v>#REF!</v>
      </c>
      <c r="E30" s="9">
        <v>0</v>
      </c>
      <c r="F30" s="7">
        <f>基础数据!J29</f>
        <v>30000</v>
      </c>
      <c r="G30" s="9">
        <f>基础数据!J27</f>
        <v>7000</v>
      </c>
      <c r="H30" s="12" t="e">
        <f t="shared" si="0"/>
        <v>#REF!</v>
      </c>
      <c r="I30" s="10" t="e">
        <f t="shared" si="2"/>
        <v>#REF!</v>
      </c>
      <c r="K30" s="23">
        <v>26</v>
      </c>
      <c r="L30" s="27" t="e">
        <f>光伏发电衰减表min!D29</f>
        <v>#REF!</v>
      </c>
      <c r="M30" s="27" t="e">
        <f>光伏发电衰减表min!G29</f>
        <v>#REF!</v>
      </c>
      <c r="N30" s="23">
        <f>基础数据!J29</f>
        <v>30000</v>
      </c>
      <c r="O30" s="28">
        <f>基础数据!J27</f>
        <v>7000</v>
      </c>
      <c r="P30" s="29">
        <v>0</v>
      </c>
      <c r="Q30" s="29" t="e">
        <f t="shared" si="1"/>
        <v>#REF!</v>
      </c>
      <c r="R30" s="29" t="e">
        <f t="shared" si="3"/>
        <v>#REF!</v>
      </c>
    </row>
    <row r="31" ht="17.25" spans="2:18">
      <c r="B31" s="7">
        <v>27</v>
      </c>
      <c r="C31" s="11" t="e">
        <f>光伏发电衰减表min!D30</f>
        <v>#REF!</v>
      </c>
      <c r="D31" s="11" t="e">
        <f>光伏发电衰减表min!G30</f>
        <v>#REF!</v>
      </c>
      <c r="E31" s="9">
        <v>0</v>
      </c>
      <c r="F31" s="7">
        <f>基础数据!J29</f>
        <v>30000</v>
      </c>
      <c r="G31" s="9">
        <f>基础数据!J27</f>
        <v>7000</v>
      </c>
      <c r="H31" s="12" t="e">
        <f t="shared" si="0"/>
        <v>#REF!</v>
      </c>
      <c r="I31" s="10" t="e">
        <f t="shared" si="2"/>
        <v>#REF!</v>
      </c>
      <c r="K31" s="23">
        <v>27</v>
      </c>
      <c r="L31" s="27" t="e">
        <f>光伏发电衰减表min!D30</f>
        <v>#REF!</v>
      </c>
      <c r="M31" s="27" t="e">
        <f>光伏发电衰减表min!G30</f>
        <v>#REF!</v>
      </c>
      <c r="N31" s="23">
        <f>基础数据!J29</f>
        <v>30000</v>
      </c>
      <c r="O31" s="28">
        <f>基础数据!J27</f>
        <v>7000</v>
      </c>
      <c r="P31" s="29">
        <v>0</v>
      </c>
      <c r="Q31" s="29" t="e">
        <f t="shared" si="1"/>
        <v>#REF!</v>
      </c>
      <c r="R31" s="29" t="e">
        <f t="shared" si="3"/>
        <v>#REF!</v>
      </c>
    </row>
    <row r="32" ht="17.25" spans="2:18">
      <c r="B32" s="7">
        <v>28</v>
      </c>
      <c r="C32" s="11" t="e">
        <f>光伏发电衰减表min!D31</f>
        <v>#REF!</v>
      </c>
      <c r="D32" s="11" t="e">
        <f>光伏发电衰减表min!G31</f>
        <v>#REF!</v>
      </c>
      <c r="E32" s="9">
        <v>0</v>
      </c>
      <c r="F32" s="7">
        <f>基础数据!J29</f>
        <v>30000</v>
      </c>
      <c r="G32" s="9">
        <f>基础数据!J27</f>
        <v>7000</v>
      </c>
      <c r="H32" s="12" t="e">
        <f t="shared" si="0"/>
        <v>#REF!</v>
      </c>
      <c r="I32" s="10" t="e">
        <f t="shared" si="2"/>
        <v>#REF!</v>
      </c>
      <c r="K32" s="23">
        <v>28</v>
      </c>
      <c r="L32" s="27" t="e">
        <f>光伏发电衰减表min!D31</f>
        <v>#REF!</v>
      </c>
      <c r="M32" s="27" t="e">
        <f>光伏发电衰减表min!G31</f>
        <v>#REF!</v>
      </c>
      <c r="N32" s="23">
        <f>基础数据!J29</f>
        <v>30000</v>
      </c>
      <c r="O32" s="28">
        <f>基础数据!J27</f>
        <v>7000</v>
      </c>
      <c r="P32" s="29">
        <v>0</v>
      </c>
      <c r="Q32" s="29" t="e">
        <f t="shared" si="1"/>
        <v>#REF!</v>
      </c>
      <c r="R32" s="29" t="e">
        <f t="shared" si="3"/>
        <v>#REF!</v>
      </c>
    </row>
    <row r="33" ht="17.25" spans="2:18">
      <c r="B33" s="7">
        <v>29</v>
      </c>
      <c r="C33" s="11" t="e">
        <f>光伏发电衰减表min!D32</f>
        <v>#REF!</v>
      </c>
      <c r="D33" s="11" t="e">
        <f>光伏发电衰减表min!G32</f>
        <v>#REF!</v>
      </c>
      <c r="E33" s="9">
        <v>0</v>
      </c>
      <c r="F33" s="7">
        <f>基础数据!J29</f>
        <v>30000</v>
      </c>
      <c r="G33" s="9">
        <f>基础数据!J27</f>
        <v>7000</v>
      </c>
      <c r="H33" s="12" t="e">
        <f t="shared" si="0"/>
        <v>#REF!</v>
      </c>
      <c r="I33" s="10" t="e">
        <f t="shared" si="2"/>
        <v>#REF!</v>
      </c>
      <c r="K33" s="23">
        <v>29</v>
      </c>
      <c r="L33" s="27" t="e">
        <f>光伏发电衰减表min!D32</f>
        <v>#REF!</v>
      </c>
      <c r="M33" s="27" t="e">
        <f>光伏发电衰减表min!G32</f>
        <v>#REF!</v>
      </c>
      <c r="N33" s="23">
        <f>基础数据!J29</f>
        <v>30000</v>
      </c>
      <c r="O33" s="28">
        <f>基础数据!J27</f>
        <v>7000</v>
      </c>
      <c r="P33" s="29">
        <v>0</v>
      </c>
      <c r="Q33" s="29" t="e">
        <f t="shared" si="1"/>
        <v>#REF!</v>
      </c>
      <c r="R33" s="29" t="e">
        <f t="shared" si="3"/>
        <v>#REF!</v>
      </c>
    </row>
    <row r="34" ht="17.25" spans="2:18">
      <c r="B34" s="7">
        <v>30</v>
      </c>
      <c r="C34" s="11" t="e">
        <f>光伏发电衰减表min!D33</f>
        <v>#REF!</v>
      </c>
      <c r="D34" s="11" t="e">
        <f>光伏发电衰减表min!G33</f>
        <v>#REF!</v>
      </c>
      <c r="E34" s="9">
        <v>0</v>
      </c>
      <c r="F34" s="7">
        <f>基础数据!J29</f>
        <v>30000</v>
      </c>
      <c r="G34" s="9">
        <f>基础数据!J27</f>
        <v>7000</v>
      </c>
      <c r="H34" s="12" t="e">
        <f t="shared" si="0"/>
        <v>#REF!</v>
      </c>
      <c r="I34" s="10" t="e">
        <f t="shared" si="2"/>
        <v>#REF!</v>
      </c>
      <c r="K34" s="23">
        <v>30</v>
      </c>
      <c r="L34" s="27" t="e">
        <f>光伏发电衰减表min!D33</f>
        <v>#REF!</v>
      </c>
      <c r="M34" s="27" t="e">
        <f>光伏发电衰减表min!G33</f>
        <v>#REF!</v>
      </c>
      <c r="N34" s="23">
        <f>基础数据!J29</f>
        <v>30000</v>
      </c>
      <c r="O34" s="28">
        <f>基础数据!J27</f>
        <v>7000</v>
      </c>
      <c r="P34" s="29">
        <v>0</v>
      </c>
      <c r="Q34" s="29" t="e">
        <f t="shared" si="1"/>
        <v>#REF!</v>
      </c>
      <c r="R34" s="29" t="e">
        <f t="shared" si="3"/>
        <v>#REF!</v>
      </c>
    </row>
    <row r="35" ht="18" spans="2:9">
      <c r="B35" s="17"/>
      <c r="C35" s="17"/>
      <c r="D35" s="17"/>
      <c r="E35" s="17"/>
      <c r="F35" s="17"/>
      <c r="G35" s="17"/>
      <c r="H35" s="18" t="s">
        <v>243</v>
      </c>
      <c r="I35" s="31" t="e">
        <f>IRR(H4:H34)</f>
        <v>#VALUE!</v>
      </c>
    </row>
    <row r="50" spans="8:8">
      <c r="H50" s="19">
        <v>1126395.7746534</v>
      </c>
    </row>
    <row r="51" spans="8:8">
      <c r="H51" s="19">
        <v>1102917.77020033</v>
      </c>
    </row>
    <row r="52" spans="8:8">
      <c r="H52" s="19">
        <v>1094230.9085527</v>
      </c>
    </row>
    <row r="53" spans="8:8">
      <c r="H53" s="19">
        <v>1085778.82694959</v>
      </c>
    </row>
    <row r="54" spans="8:8">
      <c r="H54" s="19">
        <v>1077444.13536875</v>
      </c>
    </row>
    <row r="55" spans="8:8">
      <c r="H55" s="19">
        <v>1069344.22383244</v>
      </c>
    </row>
    <row r="56" spans="8:8">
      <c r="H56" s="19">
        <v>1061479.09234067</v>
      </c>
    </row>
    <row r="57" spans="8:8">
      <c r="H57" s="19">
        <v>1053848.74089342</v>
      </c>
    </row>
    <row r="58" spans="8:8">
      <c r="H58" s="19">
        <v>1046335.77946844</v>
      </c>
    </row>
    <row r="59" spans="8:8">
      <c r="H59" s="19">
        <v>1038940.20806572</v>
      </c>
    </row>
    <row r="60" spans="8:8">
      <c r="H60" s="19">
        <v>1031896.8067298</v>
      </c>
    </row>
    <row r="61" spans="8:8">
      <c r="H61" s="19">
        <v>1024853.40539388</v>
      </c>
    </row>
    <row r="62" spans="8:8">
      <c r="H62" s="19">
        <v>1017927.39408022</v>
      </c>
    </row>
    <row r="63" spans="8:8">
      <c r="H63" s="19">
        <v>1011236.1628111</v>
      </c>
    </row>
    <row r="64" spans="8:8">
      <c r="H64" s="19">
        <v>1004662.32156424</v>
      </c>
    </row>
    <row r="65" spans="8:8">
      <c r="H65" s="19">
        <v>998205.870339647</v>
      </c>
    </row>
    <row r="66" spans="8:8">
      <c r="H66" s="19">
        <v>991866.809137319</v>
      </c>
    </row>
    <row r="67" spans="8:8">
      <c r="H67" s="19">
        <v>985645.137957256</v>
      </c>
    </row>
    <row r="68" spans="8:8">
      <c r="H68" s="19">
        <v>979658.246821723</v>
      </c>
    </row>
    <row r="69" spans="8:8">
      <c r="H69" s="19">
        <v>973788.745708456</v>
      </c>
    </row>
    <row r="70" spans="8:8">
      <c r="H70" s="19">
        <v>967919.244595189</v>
      </c>
    </row>
    <row r="71" spans="8:8">
      <c r="H71" s="19">
        <v>962284.523526453</v>
      </c>
    </row>
    <row r="72" spans="8:8">
      <c r="H72" s="19">
        <v>956649.802457717</v>
      </c>
    </row>
    <row r="73" spans="8:8">
      <c r="H73" s="19">
        <v>951249.861433511</v>
      </c>
    </row>
    <row r="74" spans="8:8">
      <c r="H74" s="19">
        <v>945967.310431571</v>
      </c>
    </row>
  </sheetData>
  <mergeCells count="4">
    <mergeCell ref="B2:I2"/>
    <mergeCell ref="K2:R2"/>
    <mergeCell ref="T2:W2"/>
    <mergeCell ref="B35:G35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广州奇点新能源有限公司</Company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基础数据</vt:lpstr>
      <vt:lpstr>光伏发电衰减表 输入数据</vt:lpstr>
      <vt:lpstr>业主收益（租金、节能收益）</vt:lpstr>
      <vt:lpstr>税金参数</vt:lpstr>
      <vt:lpstr>等额本息（融资租赁）</vt:lpstr>
      <vt:lpstr>等额本金（银行贷款）</vt:lpstr>
      <vt:lpstr>光伏发电衰减表min EMC</vt:lpstr>
      <vt:lpstr>光伏发电衰减表 理论均值 EMC</vt:lpstr>
      <vt:lpstr>消纳率参数</vt:lpstr>
      <vt:lpstr>投资收益（含利润分配）</vt:lpstr>
      <vt:lpstr>光伏发电衰减表min</vt:lpstr>
      <vt:lpstr>收益回报表min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李暉</dc:creator>
  <cp:lastModifiedBy>White_Ship</cp:lastModifiedBy>
  <dcterms:created xsi:type="dcterms:W3CDTF">2016-12-02T08:54:00Z</dcterms:created>
  <dcterms:modified xsi:type="dcterms:W3CDTF">2025-10-24T11:31:07Z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948093455FD8453187216FE430B46B9D_13</vt:lpwstr>
  </property>
  <property fmtid="{D5CDD505-2E9C-101B-9397-08002B2CF9AE}" pid="4" name="KSOReadingLayout">
    <vt:bool>false</vt:bool>
  </property>
</Properties>
</file>