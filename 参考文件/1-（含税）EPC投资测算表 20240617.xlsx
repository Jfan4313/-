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608" firstSheet="1" activeTab="1"/>
  </bookViews>
  <sheets>
    <sheet name="项目情况汇总" sheetId="17" r:id="rId1"/>
    <sheet name="基础数据" sheetId="1" r:id="rId2"/>
    <sheet name="光伏发电衰减表 输入数据" sheetId="4" r:id="rId3"/>
    <sheet name="税金参数（新）" sheetId="13" r:id="rId4"/>
    <sheet name="资金成本参数（新）" sheetId="16" r:id="rId5"/>
    <sheet name="光伏发电衰减表min EMC" sheetId="6" state="hidden" r:id="rId6"/>
    <sheet name="光伏发电衰减表 理论均值 EMC" sheetId="7" state="hidden" r:id="rId7"/>
    <sheet name="消纳率参数" sheetId="8" r:id="rId8"/>
    <sheet name="业主自投收益回报表" sheetId="5" r:id="rId9"/>
    <sheet name="总造价明细" sheetId="10" r:id="rId10"/>
    <sheet name="光伏发电衰减表min" sheetId="3" state="hidden" r:id="rId11"/>
    <sheet name="收益回报表min" sheetId="2" state="hidden" r:id="rId12"/>
  </sheets>
  <definedNames>
    <definedName name="_xlnm.Print_Area" localSheetId="11">收益回报表min!$B$2:$I$35</definedName>
    <definedName name="_xlnm.Print_Area" localSheetId="8">业主自投收益回报表!$B$2:$G$30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<sst xmlns="http://schemas.openxmlformats.org/spreadsheetml/2006/main" count="691" uniqueCount="253">
  <si>
    <t>指标</t>
  </si>
  <si>
    <t>数值</t>
  </si>
  <si>
    <t>说明</t>
  </si>
  <si>
    <t>项目名称</t>
  </si>
  <si>
    <t>项目地址</t>
  </si>
  <si>
    <t>装机容量</t>
  </si>
  <si>
    <t>来源：基础数据</t>
  </si>
  <si>
    <t>单价（元/KWp）</t>
  </si>
  <si>
    <t>总投资成本（万元）</t>
  </si>
  <si>
    <t>来源：总造价明细</t>
  </si>
  <si>
    <t>首年发电量（万）</t>
  </si>
  <si>
    <t>来源：光伏发电衰减表</t>
  </si>
  <si>
    <t>首年度节电收益（万元）</t>
  </si>
  <si>
    <t>来源：税后净收益（首年）</t>
  </si>
  <si>
    <t>回本周期</t>
  </si>
  <si>
    <t>累计净收益&gt;0的时间点</t>
  </si>
  <si>
    <t>项目IRR</t>
  </si>
  <si>
    <t>投资回报率</t>
  </si>
  <si>
    <t>30年累计净收益（万元）</t>
  </si>
  <si>
    <t>收益终值</t>
  </si>
  <si>
    <t>基础数据（一）</t>
  </si>
  <si>
    <t>基础数据（二）</t>
  </si>
  <si>
    <t>基础数据（三）</t>
  </si>
  <si>
    <t>面积㎡</t>
  </si>
  <si>
    <t>装机容量KWp</t>
  </si>
  <si>
    <t>小计</t>
  </si>
  <si>
    <t>单价</t>
  </si>
  <si>
    <t>工程造价合计</t>
  </si>
  <si>
    <t>遮挡发电系数</t>
  </si>
  <si>
    <t>总装机容量</t>
  </si>
  <si>
    <t>光伏发电站计量参数</t>
  </si>
  <si>
    <t>首年预计发电量（KW.h）（未计算衰减）</t>
  </si>
  <si>
    <t>月份</t>
  </si>
  <si>
    <t>日照时长</t>
  </si>
  <si>
    <t>系统综合效率</t>
  </si>
  <si>
    <t>非正南角度</t>
  </si>
  <si>
    <t>发电天数</t>
  </si>
  <si>
    <t>实际等效可利用时间</t>
  </si>
  <si>
    <t>发电量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</si>
  <si>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</si>
  <si>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</si>
  <si>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</si>
  <si>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</si>
  <si>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</si>
  <si>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</si>
  <si>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</si>
  <si>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</si>
  <si>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</si>
  <si>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</si>
  <si>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</si>
  <si>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</si>
  <si>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</t>
  </si>
  <si>
    <t>合计</t>
  </si>
  <si>
    <t>节能减排表</t>
  </si>
  <si>
    <t>光伏保险费用（元）</t>
  </si>
  <si>
    <t>项目</t>
  </si>
  <si>
    <t>节约标准煤</t>
  </si>
  <si>
    <r>
      <rPr>
        <sz val="11"/>
        <rFont val="微软雅黑"/>
        <charset val="134"/>
      </rPr>
      <t>减排CO</t>
    </r>
    <r>
      <rPr>
        <vertAlign val="subscript"/>
        <sz val="11"/>
        <rFont val="微软雅黑"/>
        <charset val="134"/>
      </rPr>
      <t>2</t>
    </r>
  </si>
  <si>
    <t>减排SOx</t>
  </si>
  <si>
    <t>减排NOx</t>
  </si>
  <si>
    <t>等效植树</t>
  </si>
  <si>
    <t>度</t>
  </si>
  <si>
    <t>吨</t>
  </si>
  <si>
    <t>棵</t>
  </si>
  <si>
    <t>光伏发电站运维费用（元）</t>
  </si>
  <si>
    <t>第一年</t>
  </si>
  <si>
    <t>25年合计</t>
  </si>
  <si>
    <t>碳交易权价值</t>
  </si>
  <si>
    <t>发电量（度）</t>
  </si>
  <si>
    <t>减排碳（吨）</t>
  </si>
  <si>
    <t>单价（元）</t>
  </si>
  <si>
    <t>合计（元）</t>
  </si>
  <si>
    <t>每年平均</t>
  </si>
  <si>
    <t>每年除去七、八、九月 平均电价计算（元/KW.h）</t>
  </si>
  <si>
    <t>年发电量预估（峰值日照时长平均值）</t>
  </si>
  <si>
    <t>消纳率</t>
  </si>
  <si>
    <t>余电上网率</t>
  </si>
  <si>
    <t>供电局购电价</t>
  </si>
  <si>
    <t>尖电电价</t>
  </si>
  <si>
    <t>峰电电价</t>
  </si>
  <si>
    <t>平段电价</t>
  </si>
  <si>
    <t>谷电电价</t>
  </si>
  <si>
    <t>输配电费（尖）</t>
  </si>
  <si>
    <t>输配电费（峰）</t>
  </si>
  <si>
    <t>输配电费（平）</t>
  </si>
  <si>
    <t>基金及附加费</t>
  </si>
  <si>
    <t>年份</t>
  </si>
  <si>
    <t>系统发电效率(%)</t>
  </si>
  <si>
    <t>发电收入</t>
  </si>
  <si>
    <t>运维</t>
  </si>
  <si>
    <t>保险</t>
  </si>
  <si>
    <t>资金成本</t>
  </si>
  <si>
    <t>税金合计</t>
  </si>
  <si>
    <t>碳权价值</t>
  </si>
  <si>
    <t>税后发电净收入</t>
  </si>
  <si>
    <t>余电上网电价（元）</t>
  </si>
  <si>
    <t>忽略</t>
  </si>
  <si>
    <t>光伏发电电价</t>
  </si>
  <si>
    <t>电费折扣</t>
  </si>
  <si>
    <t>加权系数</t>
  </si>
  <si>
    <t>合计时段</t>
  </si>
  <si>
    <t>全年平均电价</t>
  </si>
  <si>
    <t>加权后平均电价</t>
  </si>
  <si>
    <t>首年总发电量</t>
  </si>
  <si>
    <t>每年七、八、九月 平均电价计算（元/KW.h）</t>
  </si>
  <si>
    <t>首年除七、八、九月发电总量</t>
  </si>
  <si>
    <t>首年七、八、九月发电总量</t>
  </si>
  <si>
    <t>首年预计发电量（KW.h）(已计算衰减）</t>
  </si>
  <si>
    <t>月发电量</t>
  </si>
  <si>
    <t>.</t>
  </si>
  <si>
    <t>工程造价（含税）</t>
  </si>
  <si>
    <t>运维费用</t>
  </si>
  <si>
    <t>保险费用</t>
  </si>
  <si>
    <t>工程造价（不含税）</t>
  </si>
  <si>
    <t>假设运维保险都开普票</t>
  </si>
  <si>
    <t>*假设企业是小微</t>
  </si>
  <si>
    <t>*折旧摊销采用双倍余额递减法</t>
  </si>
  <si>
    <t>*-公式不加所得税</t>
  </si>
  <si>
    <t>上网收入(不含13%税）</t>
  </si>
  <si>
    <t>应交上网增值税金</t>
  </si>
  <si>
    <t>运维、保险留抵进项税</t>
  </si>
  <si>
    <t>原供电局损失留抵进项税</t>
  </si>
  <si>
    <t>增值税差额</t>
  </si>
  <si>
    <t>应交增值税</t>
  </si>
  <si>
    <t>城市维护建设税</t>
  </si>
  <si>
    <t>教育费附加税</t>
  </si>
  <si>
    <t>地方教育附加</t>
  </si>
  <si>
    <t>税金及附加</t>
  </si>
  <si>
    <t>折旧摊销</t>
  </si>
  <si>
    <t>原供电局应交电费</t>
  </si>
  <si>
    <t>应税所得额(利润）</t>
  </si>
  <si>
    <t>应交所得税</t>
  </si>
  <si>
    <t>税金合计（增＋附加）</t>
  </si>
  <si>
    <t>增值税总额</t>
  </si>
  <si>
    <t>税金及附加总额</t>
  </si>
  <si>
    <t>所得税合计</t>
  </si>
  <si>
    <t>注：消纳电量×全年平均电价÷1.13×0.13=原本在税局产生的可抵扣部分（损失）</t>
  </si>
  <si>
    <t>造价产生可抵扣增值税，以这两部分差额起算</t>
  </si>
  <si>
    <t>名称</t>
  </si>
  <si>
    <t>原税率（%）</t>
  </si>
  <si>
    <t>税率</t>
  </si>
  <si>
    <t>备注</t>
  </si>
  <si>
    <t>增值税及附加税费</t>
  </si>
  <si>
    <t>增值税率</t>
  </si>
  <si>
    <t>/</t>
  </si>
  <si>
    <t>城市维护建设税率</t>
  </si>
  <si>
    <t>（小微企业减征50%）</t>
  </si>
  <si>
    <t>造价留抵进项税</t>
  </si>
  <si>
    <t>教育费附加税率</t>
  </si>
  <si>
    <t>所得税</t>
  </si>
  <si>
    <t>所得税率</t>
  </si>
  <si>
    <t>小微企业5%</t>
  </si>
  <si>
    <t>假设运维保险都开专票</t>
  </si>
  <si>
    <t>机构所在地在市区，城建税为7%；
机构所在地在县城，城建税为5%；
机构所在地在镇/海上，城建税为1%</t>
  </si>
  <si>
    <t>等额本金</t>
  </si>
  <si>
    <t>贷款总额（元）</t>
  </si>
  <si>
    <t>剩余应计算利息的本金（元）</t>
  </si>
  <si>
    <t>每期应还利息（元）</t>
  </si>
  <si>
    <t>资金成本合计</t>
  </si>
  <si>
    <t>贷款年化利率</t>
  </si>
  <si>
    <t>贷款期限（年）</t>
  </si>
  <si>
    <t>还款</t>
  </si>
  <si>
    <t>一年还一次</t>
  </si>
  <si>
    <t>每期应还本金（元）</t>
  </si>
  <si>
    <t>*约定的利率未超过合同成立时一年期贷款市场报价利率四倍，受法律保护</t>
  </si>
  <si>
    <t>年发电量预估（理论最小值）</t>
  </si>
  <si>
    <t>业主消纳率</t>
  </si>
  <si>
    <t>节能效益（元）</t>
  </si>
  <si>
    <t>月平均发电量（度）</t>
  </si>
  <si>
    <t>电价折扣（EMC）</t>
  </si>
  <si>
    <t>首年发电量</t>
  </si>
  <si>
    <t>首年除七、八、九月的发电总量</t>
  </si>
  <si>
    <t>首年预计发电量（KW.h）</t>
  </si>
  <si>
    <t>年发电量预估（理论平均值）</t>
  </si>
  <si>
    <t>折扣</t>
  </si>
  <si>
    <t>电费单</t>
  </si>
  <si>
    <t>按业主电费单核算</t>
  </si>
  <si>
    <t>尖</t>
  </si>
  <si>
    <t>可消纳光伏电</t>
  </si>
  <si>
    <t>光伏发电量</t>
  </si>
  <si>
    <t>峰</t>
  </si>
  <si>
    <t>平</t>
  </si>
  <si>
    <t>当月消纳率</t>
  </si>
  <si>
    <t>结算价格</t>
  </si>
  <si>
    <t>消纳率＜10%</t>
  </si>
  <si>
    <t>10%≤ 消纳率 ＜20%</t>
  </si>
  <si>
    <t>20%≤ 消纳率 ＜30%</t>
  </si>
  <si>
    <t>30%≤ 消纳率 ＜40%</t>
  </si>
  <si>
    <t>40%≤ 消纳率 ＜50%</t>
  </si>
  <si>
    <t>50%≤ 消纳率 ＜60%</t>
  </si>
  <si>
    <t>60%≤ 消纳率 ＜70%</t>
  </si>
  <si>
    <t>70%≤ 消纳率 ＜80%</t>
  </si>
  <si>
    <t>80%≤ 消纳率 ＜90%</t>
  </si>
  <si>
    <t>90%≤ 消纳率 ≤100%</t>
  </si>
  <si>
    <t>按业主变压器核算（假设满负载）</t>
  </si>
  <si>
    <t>*无电费单、装机容量&gt;变压器容量的情况，用业主变压器核算
1小时用电量=变压器容量×功率系数</t>
  </si>
  <si>
    <t>变压器容量（KVA）</t>
  </si>
  <si>
    <t>功率系数</t>
  </si>
  <si>
    <t>客户一天生产总时长（小时）</t>
  </si>
  <si>
    <t>业主自投收益回报表（峰值日照时长平均值）</t>
  </si>
  <si>
    <t>税前发电收入</t>
  </si>
  <si>
    <t>投资成本</t>
  </si>
  <si>
    <t>累计净收入</t>
  </si>
  <si>
    <t>irr内部收益率</t>
  </si>
  <si>
    <t>序号</t>
  </si>
  <si>
    <t>安装方式</t>
  </si>
  <si>
    <t>光伏系统</t>
  </si>
  <si>
    <t>拟安装组件数量（块）</t>
  </si>
  <si>
    <t>组件功率（Wp）</t>
  </si>
  <si>
    <t>装机容量（KWp）</t>
  </si>
  <si>
    <t>分布式光伏发电系统（高压并网）</t>
  </si>
  <si>
    <t>2600元/KWp</t>
  </si>
  <si>
    <t>办公楼</t>
  </si>
  <si>
    <t>铝合金防水支架</t>
  </si>
  <si>
    <t>200元/KWp</t>
  </si>
  <si>
    <t>综合楼</t>
  </si>
  <si>
    <t>热浸锌光伏屋面盖</t>
  </si>
  <si>
    <t>138元/㎡</t>
  </si>
  <si>
    <t>宿舍楼一</t>
  </si>
  <si>
    <t>热浸锌光伏棚架</t>
  </si>
  <si>
    <t>80元/㎡</t>
  </si>
  <si>
    <t>宿舍楼二</t>
  </si>
  <si>
    <t>铝合金支架+彩钢瓦</t>
  </si>
  <si>
    <t>115元/㎡</t>
  </si>
  <si>
    <t>车间一</t>
  </si>
  <si>
    <t>车间二</t>
  </si>
  <si>
    <t>面积（㎡）</t>
  </si>
  <si>
    <t>单价（元/㎡）</t>
  </si>
  <si>
    <t>车间三</t>
  </si>
  <si>
    <t>车间四</t>
  </si>
  <si>
    <t>防水支架</t>
  </si>
  <si>
    <t>方案一：阵列式</t>
  </si>
  <si>
    <t>分布式光伏发电系统</t>
  </si>
  <si>
    <t>2570元/KW</t>
  </si>
  <si>
    <t>方案二：简易棚架</t>
  </si>
  <si>
    <t>2470元/KW</t>
  </si>
  <si>
    <t>热镀锌方管简易棚架</t>
  </si>
  <si>
    <t>方案三：彩钢瓦棚架</t>
  </si>
  <si>
    <t>彩钢瓦棚架</t>
  </si>
  <si>
    <t>170元/㎡</t>
  </si>
  <si>
    <t>年发电量预估（极端天气）</t>
  </si>
  <si>
    <t>发电收入（元）</t>
  </si>
  <si>
    <t>业主自投收益回报表（极端天气）</t>
  </si>
  <si>
    <t>银行贷款投资收益回报表（极端天气）</t>
  </si>
  <si>
    <t>等额本息还款计算器</t>
  </si>
  <si>
    <t>净收入</t>
  </si>
  <si>
    <t>等额本息还款</t>
  </si>
  <si>
    <t>利率</t>
  </si>
  <si>
    <t>贷款金额</t>
  </si>
  <si>
    <t>贷款年限</t>
  </si>
  <si>
    <t>每月应还</t>
  </si>
  <si>
    <t>每年应还</t>
  </si>
  <si>
    <t>总利息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</si>
</sst>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  <numFmt numFmtId="178" formatCode="#,##0_ "/>
    <numFmt numFmtId="179" formatCode="0_ "/>
    <numFmt numFmtId="180" formatCode="0.00;[Red]0.00"/>
    <numFmt numFmtId="181" formatCode="#,##0.0000_ "/>
    <numFmt numFmtId="182" formatCode="#,##0_ ;[Red]\-#,##0\ "/>
    <numFmt numFmtId="183" formatCode="0.0000_ "/>
    <numFmt numFmtId="184" formatCode="0.000000_ "/>
    <numFmt numFmtId="185" formatCode="0.00_ ;[Red]\-0.00\ "/>
  </numFmts>
  <fonts count="42">
    <font>
      <sz val="12"/>
      <name val="宋体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2"/>
      <color rgb="FF000000"/>
      <name val="微软雅黑"/>
      <charset val="134"/>
    </font>
    <font>
      <sz val="14"/>
      <name val="Wingdings"/>
      <charset val="2"/>
    </font>
    <font>
      <sz val="14"/>
      <color rgb="FF000000"/>
      <name val="微软雅黑"/>
      <charset val="134"/>
    </font>
    <font>
      <sz val="10"/>
      <name val="Microsoft YaHei"/>
      <charset val="134"/>
    </font>
    <font>
      <b/>
      <sz val="12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2"/>
      <color rgb="FFFF0000"/>
      <name val="微软雅黑"/>
      <charset val="134"/>
    </font>
    <font>
      <b/>
      <sz val="10"/>
      <name val="微软雅黑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sz val="12.75"/>
      <color rgb="FF333333"/>
      <name val="Arial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10" borderId="4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1" applyNumberFormat="0" applyFill="0" applyAlignment="0" applyProtection="0">
      <alignment vertical="center"/>
    </xf>
    <xf numFmtId="0" fontId="28" fillId="0" borderId="41" applyNumberFormat="0" applyFill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43" applyNumberFormat="0" applyAlignment="0" applyProtection="0">
      <alignment vertical="center"/>
    </xf>
    <xf numFmtId="0" fontId="31" fillId="12" borderId="44" applyNumberFormat="0" applyAlignment="0" applyProtection="0">
      <alignment vertical="center"/>
    </xf>
    <xf numFmtId="0" fontId="32" fillId="12" borderId="43" applyNumberFormat="0" applyAlignment="0" applyProtection="0">
      <alignment vertical="center"/>
    </xf>
    <xf numFmtId="0" fontId="33" fillId="13" borderId="45" applyNumberFormat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26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wrapText="1"/>
    </xf>
    <xf numFmtId="177" fontId="3" fillId="0" borderId="3" xfId="0" applyNumberFormat="1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178" fontId="3" fillId="2" borderId="3" xfId="0" applyNumberFormat="1" applyFont="1" applyFill="1" applyBorder="1" applyAlignment="1">
      <alignment horizont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7" fontId="3" fillId="2" borderId="3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0" fontId="0" fillId="0" borderId="0" xfId="0" applyNumberFormat="1">
      <alignment vertical="center"/>
    </xf>
    <xf numFmtId="179" fontId="4" fillId="0" borderId="3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178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10" fontId="1" fillId="2" borderId="4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0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40" fontId="1" fillId="2" borderId="9" xfId="0" applyNumberFormat="1" applyFont="1" applyFill="1" applyBorder="1" applyAlignment="1">
      <alignment horizontal="center" vertical="center"/>
    </xf>
    <xf numFmtId="40" fontId="1" fillId="2" borderId="10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180" fontId="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readingOrder="1"/>
    </xf>
    <xf numFmtId="10" fontId="5" fillId="4" borderId="15" xfId="0" applyNumberFormat="1" applyFont="1" applyFill="1" applyBorder="1" applyAlignment="1">
      <alignment horizontal="center" vertical="center" wrapText="1" readingOrder="1"/>
    </xf>
    <xf numFmtId="10" fontId="5" fillId="0" borderId="15" xfId="0" applyNumberFormat="1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 wrapText="1" readingOrder="1"/>
    </xf>
    <xf numFmtId="178" fontId="5" fillId="0" borderId="9" xfId="0" applyNumberFormat="1" applyFont="1" applyBorder="1" applyAlignment="1">
      <alignment horizontal="center" vertical="center" wrapText="1" readingOrder="1"/>
    </xf>
    <xf numFmtId="178" fontId="5" fillId="0" borderId="15" xfId="0" applyNumberFormat="1" applyFont="1" applyBorder="1" applyAlignment="1">
      <alignment horizontal="center" vertical="center" wrapText="1" readingOrder="1"/>
    </xf>
    <xf numFmtId="178" fontId="5" fillId="0" borderId="16" xfId="0" applyNumberFormat="1" applyFont="1" applyBorder="1" applyAlignment="1">
      <alignment horizontal="center" vertical="center" wrapText="1"/>
    </xf>
    <xf numFmtId="178" fontId="5" fillId="0" borderId="17" xfId="0" applyNumberFormat="1" applyFont="1" applyBorder="1" applyAlignment="1">
      <alignment horizontal="center" vertical="center" wrapText="1"/>
    </xf>
    <xf numFmtId="178" fontId="5" fillId="2" borderId="17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78" fontId="1" fillId="0" borderId="22" xfId="0" applyNumberFormat="1" applyFont="1" applyBorder="1" applyAlignment="1">
      <alignment horizontal="center" vertical="center"/>
    </xf>
    <xf numFmtId="181" fontId="1" fillId="2" borderId="22" xfId="0" applyNumberFormat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76" fontId="1" fillId="2" borderId="22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10" fontId="0" fillId="0" borderId="0" xfId="0" applyNumberForma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77" fontId="1" fillId="0" borderId="33" xfId="0" applyNumberFormat="1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77" fontId="1" fillId="2" borderId="34" xfId="0" applyNumberFormat="1" applyFont="1" applyFill="1" applyBorder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4" fontId="1" fillId="2" borderId="9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7" fillId="0" borderId="0" xfId="0" applyFont="1" applyAlignment="1">
      <alignment horizontal="left" vertical="center" indent="1" readingOrder="1"/>
    </xf>
    <xf numFmtId="3" fontId="8" fillId="0" borderId="0" xfId="0" applyNumberFormat="1" applyFont="1">
      <alignment vertical="center"/>
    </xf>
    <xf numFmtId="176" fontId="1" fillId="0" borderId="9" xfId="0" applyNumberFormat="1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176" fontId="3" fillId="0" borderId="9" xfId="0" applyNumberFormat="1" applyFont="1" applyBorder="1" applyAlignment="1">
      <alignment horizontal="center" vertical="center" wrapText="1"/>
    </xf>
    <xf numFmtId="177" fontId="3" fillId="0" borderId="9" xfId="0" applyNumberFormat="1" applyFont="1" applyBorder="1" applyAlignment="1">
      <alignment horizontal="center" vertical="center" wrapText="1"/>
    </xf>
    <xf numFmtId="178" fontId="3" fillId="0" borderId="9" xfId="0" applyNumberFormat="1" applyFont="1" applyBorder="1" applyAlignment="1">
      <alignment horizontal="center" wrapText="1"/>
    </xf>
    <xf numFmtId="177" fontId="3" fillId="0" borderId="9" xfId="0" applyNumberFormat="1" applyFont="1" applyBorder="1" applyAlignment="1">
      <alignment horizontal="center" wrapText="1"/>
    </xf>
    <xf numFmtId="0" fontId="3" fillId="0" borderId="9" xfId="0" applyFont="1" applyFill="1" applyBorder="1" applyAlignment="1">
      <alignment horizontal="center" vertical="center" wrapText="1"/>
    </xf>
    <xf numFmtId="178" fontId="3" fillId="0" borderId="9" xfId="0" applyNumberFormat="1" applyFont="1" applyFill="1" applyBorder="1" applyAlignment="1">
      <alignment horizont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78" fontId="3" fillId="2" borderId="9" xfId="0" applyNumberFormat="1" applyFont="1" applyFill="1" applyBorder="1" applyAlignment="1">
      <alignment horizont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177" fontId="3" fillId="2" borderId="9" xfId="0" applyNumberFormat="1" applyFont="1" applyFill="1" applyBorder="1" applyAlignment="1">
      <alignment horizontal="center" wrapText="1"/>
    </xf>
    <xf numFmtId="177" fontId="3" fillId="2" borderId="9" xfId="0" applyNumberFormat="1" applyFont="1" applyFill="1" applyBorder="1" applyAlignment="1">
      <alignment horizontal="center" vertical="center" wrapText="1"/>
    </xf>
    <xf numFmtId="10" fontId="1" fillId="2" borderId="9" xfId="0" applyNumberFormat="1" applyFont="1" applyFill="1" applyBorder="1" applyAlignment="1">
      <alignment horizontal="center" vertical="center"/>
    </xf>
    <xf numFmtId="0" fontId="0" fillId="0" borderId="9" xfId="0" applyFill="1" applyBorder="1">
      <alignment vertical="center"/>
    </xf>
    <xf numFmtId="0" fontId="0" fillId="5" borderId="9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8" fontId="5" fillId="0" borderId="9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10" fontId="5" fillId="2" borderId="9" xfId="0" applyNumberFormat="1" applyFont="1" applyFill="1" applyBorder="1" applyAlignment="1">
      <alignment horizontal="center" vertical="center"/>
    </xf>
    <xf numFmtId="178" fontId="5" fillId="0" borderId="9" xfId="0" applyNumberFormat="1" applyFont="1" applyBorder="1" applyAlignment="1">
      <alignment horizontal="center" vertical="center" wrapText="1"/>
    </xf>
    <xf numFmtId="178" fontId="5" fillId="6" borderId="9" xfId="0" applyNumberFormat="1" applyFont="1" applyFill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0" fontId="1" fillId="4" borderId="22" xfId="0" applyNumberFormat="1" applyFont="1" applyFill="1" applyBorder="1" applyAlignment="1">
      <alignment horizontal="center" vertical="center"/>
    </xf>
    <xf numFmtId="177" fontId="1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0" fontId="5" fillId="0" borderId="0" xfId="0" applyNumberFormat="1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38" fontId="5" fillId="0" borderId="9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40" fontId="5" fillId="8" borderId="9" xfId="0" applyNumberFormat="1" applyFont="1" applyFill="1" applyBorder="1" applyAlignment="1">
      <alignment horizontal="center" vertical="center"/>
    </xf>
    <xf numFmtId="38" fontId="5" fillId="8" borderId="9" xfId="0" applyNumberFormat="1" applyFont="1" applyFill="1" applyBorder="1" applyAlignment="1">
      <alignment horizontal="center" vertical="center"/>
    </xf>
    <xf numFmtId="182" fontId="5" fillId="0" borderId="9" xfId="0" applyNumberFormat="1" applyFont="1" applyBorder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0" fontId="5" fillId="0" borderId="9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40" fontId="5" fillId="7" borderId="9" xfId="0" applyNumberFormat="1" applyFont="1" applyFill="1" applyBorder="1" applyAlignment="1">
      <alignment horizontal="center" vertical="center"/>
    </xf>
    <xf numFmtId="38" fontId="5" fillId="7" borderId="9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38" fontId="5" fillId="0" borderId="0" xfId="0" applyNumberFormat="1" applyFont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38" fontId="5" fillId="2" borderId="9" xfId="0" applyNumberFormat="1" applyFont="1" applyFill="1" applyBorder="1" applyAlignment="1">
      <alignment horizontal="center" vertical="center"/>
    </xf>
    <xf numFmtId="38" fontId="5" fillId="9" borderId="9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5" fillId="6" borderId="15" xfId="0" applyNumberFormat="1" applyFont="1" applyFill="1" applyBorder="1" applyAlignment="1" applyProtection="1">
      <alignment horizontal="center" vertical="center" wrapText="1" readingOrder="1"/>
    </xf>
    <xf numFmtId="0" fontId="14" fillId="0" borderId="16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178" fontId="5" fillId="0" borderId="3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82" fontId="1" fillId="0" borderId="16" xfId="0" applyNumberFormat="1" applyFont="1" applyBorder="1" applyAlignment="1">
      <alignment horizontal="center" vertical="center"/>
    </xf>
    <xf numFmtId="182" fontId="1" fillId="0" borderId="9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82" fontId="16" fillId="0" borderId="0" xfId="0" applyNumberFormat="1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178" fontId="5" fillId="0" borderId="37" xfId="0" applyNumberFormat="1" applyFont="1" applyBorder="1" applyAlignment="1">
      <alignment horizontal="center" vertical="center" wrapText="1"/>
    </xf>
    <xf numFmtId="178" fontId="5" fillId="0" borderId="16" xfId="0" applyNumberFormat="1" applyFont="1" applyBorder="1" applyAlignment="1">
      <alignment horizontal="center" vertical="center"/>
    </xf>
    <xf numFmtId="178" fontId="5" fillId="2" borderId="16" xfId="0" applyNumberFormat="1" applyFont="1" applyFill="1" applyBorder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10" fontId="1" fillId="4" borderId="11" xfId="0" applyNumberFormat="1" applyFont="1" applyFill="1" applyBorder="1" applyAlignment="1">
      <alignment horizontal="center" vertical="center"/>
    </xf>
    <xf numFmtId="178" fontId="5" fillId="0" borderId="23" xfId="0" applyNumberFormat="1" applyFont="1" applyBorder="1" applyAlignment="1">
      <alignment horizontal="center" vertical="center" wrapText="1"/>
    </xf>
    <xf numFmtId="178" fontId="5" fillId="0" borderId="0" xfId="0" applyNumberFormat="1" applyFont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7" fillId="0" borderId="0" xfId="0" applyFont="1">
      <alignment vertical="center"/>
    </xf>
    <xf numFmtId="0" fontId="1" fillId="6" borderId="9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6" borderId="23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4" fontId="19" fillId="6" borderId="23" xfId="0" applyNumberFormat="1" applyFont="1" applyFill="1" applyBorder="1" applyAlignment="1">
      <alignment horizontal="center" vertical="center" wrapText="1"/>
    </xf>
    <xf numFmtId="3" fontId="19" fillId="6" borderId="23" xfId="0" applyNumberFormat="1" applyFont="1" applyFill="1" applyBorder="1" applyAlignment="1">
      <alignment horizontal="center" vertical="center" wrapText="1"/>
    </xf>
    <xf numFmtId="3" fontId="19" fillId="6" borderId="10" xfId="0" applyNumberFormat="1" applyFont="1" applyFill="1" applyBorder="1" applyAlignment="1">
      <alignment horizontal="center" vertical="center" wrapText="1"/>
    </xf>
    <xf numFmtId="177" fontId="19" fillId="6" borderId="23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77" fontId="19" fillId="0" borderId="0" xfId="0" applyNumberFormat="1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8" fontId="1" fillId="2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83" fontId="0" fillId="2" borderId="9" xfId="0" applyNumberForma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 wrapText="1"/>
    </xf>
    <xf numFmtId="184" fontId="10" fillId="2" borderId="9" xfId="0" applyNumberFormat="1" applyFont="1" applyFill="1" applyBorder="1" applyAlignment="1">
      <alignment horizontal="center" vertical="center"/>
    </xf>
    <xf numFmtId="185" fontId="10" fillId="2" borderId="9" xfId="0" applyNumberFormat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8" fontId="19" fillId="0" borderId="9" xfId="0" applyNumberFormat="1" applyFont="1" applyBorder="1" applyAlignment="1">
      <alignment horizontal="center" vertical="center" wrapText="1"/>
    </xf>
    <xf numFmtId="177" fontId="19" fillId="0" borderId="9" xfId="0" applyNumberFormat="1" applyFont="1" applyBorder="1" applyAlignment="1">
      <alignment horizontal="center" vertical="center" wrapText="1"/>
    </xf>
    <xf numFmtId="177" fontId="19" fillId="6" borderId="10" xfId="0" applyNumberFormat="1" applyFont="1" applyFill="1" applyBorder="1" applyAlignment="1">
      <alignment horizontal="center" vertical="center" wrapText="1"/>
    </xf>
    <xf numFmtId="9" fontId="1" fillId="0" borderId="9" xfId="0" applyNumberFormat="1" applyFont="1" applyBorder="1" applyAlignment="1">
      <alignment horizontal="center" vertical="center" wrapText="1"/>
    </xf>
    <xf numFmtId="38" fontId="5" fillId="0" borderId="23" xfId="0" applyNumberFormat="1" applyFont="1" applyBorder="1" applyAlignment="1">
      <alignment horizontal="center" vertical="center" wrapText="1"/>
    </xf>
    <xf numFmtId="38" fontId="5" fillId="0" borderId="10" xfId="0" applyNumberFormat="1" applyFont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38" fontId="5" fillId="2" borderId="23" xfId="0" applyNumberFormat="1" applyFont="1" applyFill="1" applyBorder="1" applyAlignment="1">
      <alignment horizontal="center" vertical="center" wrapText="1"/>
    </xf>
    <xf numFmtId="38" fontId="5" fillId="2" borderId="10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38" fontId="5" fillId="6" borderId="23" xfId="0" applyNumberFormat="1" applyFont="1" applyFill="1" applyBorder="1" applyAlignment="1">
      <alignment horizontal="center" vertical="center" wrapText="1"/>
    </xf>
    <xf numFmtId="38" fontId="5" fillId="6" borderId="24" xfId="0" applyNumberFormat="1" applyFont="1" applyFill="1" applyBorder="1" applyAlignment="1">
      <alignment horizontal="center" vertical="center" wrapText="1"/>
    </xf>
    <xf numFmtId="38" fontId="5" fillId="6" borderId="1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Alignment="1">
      <alignment horizontal="center" vertical="center"/>
    </xf>
    <xf numFmtId="10" fontId="19" fillId="0" borderId="0" xfId="3" applyNumberFormat="1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4"/>
    </sheetView>
  </sheetViews>
  <sheetFormatPr defaultColWidth="9" defaultRowHeight="14.25" outlineLevelCol="2"/>
  <cols>
    <col min="1" max="1" width="26.625" customWidth="1"/>
    <col min="2" max="2" width="13.625" customWidth="1"/>
    <col min="3" max="3" width="25.375" customWidth="1"/>
  </cols>
  <sheetData>
    <row r="1" ht="16.5" spans="1:3">
      <c r="A1" s="261" t="s">
        <v>0</v>
      </c>
      <c r="B1" s="261" t="s">
        <v>1</v>
      </c>
      <c r="C1" s="261" t="s">
        <v>2</v>
      </c>
    </row>
    <row r="2" ht="16.5" spans="1:3">
      <c r="A2" s="261" t="s">
        <v>3</v>
      </c>
      <c r="B2" s="261"/>
      <c r="C2" s="261"/>
    </row>
    <row r="3" ht="16.5" spans="1:3">
      <c r="A3" s="261" t="s">
        <v>4</v>
      </c>
      <c r="B3" s="261"/>
      <c r="C3" s="261"/>
    </row>
    <row r="4" ht="16.5" spans="1:3">
      <c r="A4" s="261" t="s">
        <v>5</v>
      </c>
      <c r="B4" s="261">
        <f>基础数据!D4</f>
        <v>1000</v>
      </c>
      <c r="C4" s="261" t="s">
        <v>6</v>
      </c>
    </row>
    <row r="5" ht="16.5" spans="1:3">
      <c r="A5" s="261" t="s">
        <v>7</v>
      </c>
      <c r="B5" s="261">
        <f>基础数据!B6</f>
        <v>2000</v>
      </c>
      <c r="C5" s="261"/>
    </row>
    <row r="6" ht="16.5" spans="1:3">
      <c r="A6" s="261" t="s">
        <v>8</v>
      </c>
      <c r="B6" s="262">
        <f>基础数据!D6/10000</f>
        <v>200</v>
      </c>
      <c r="C6" s="261" t="s">
        <v>9</v>
      </c>
    </row>
    <row r="7" ht="16.5" spans="1:3">
      <c r="A7" s="261" t="s">
        <v>10</v>
      </c>
      <c r="B7" s="262">
        <f>'光伏发电衰减表 输入数据'!D6/10000</f>
        <v>86.4834100845</v>
      </c>
      <c r="C7" s="261" t="s">
        <v>11</v>
      </c>
    </row>
    <row r="8" ht="16.5" spans="1:3">
      <c r="A8" s="261" t="s">
        <v>12</v>
      </c>
      <c r="B8" s="262">
        <f>'光伏发电衰减表 输入数据'!M31/30</f>
        <v>359230.696261805</v>
      </c>
      <c r="C8" s="261" t="s">
        <v>13</v>
      </c>
    </row>
    <row r="9" ht="16.5" spans="1:3">
      <c r="A9" s="261" t="s">
        <v>14</v>
      </c>
      <c r="B9" s="262" t="str">
        <f>业主自投收益回报表!J3</f>
        <v>第4年2个月</v>
      </c>
      <c r="C9" s="261" t="s">
        <v>15</v>
      </c>
    </row>
    <row r="10" ht="16.5" spans="1:3">
      <c r="A10" s="261" t="s">
        <v>16</v>
      </c>
      <c r="B10" s="263">
        <f>业主自投收益回报表!G30</f>
        <v>0.231592988561423</v>
      </c>
      <c r="C10" s="261" t="s">
        <v>17</v>
      </c>
    </row>
    <row r="11" ht="16.5" spans="1:3">
      <c r="A11" s="261" t="s">
        <v>18</v>
      </c>
      <c r="B11" s="262" t="e">
        <f>业主自投收益回报表!#REF!/10000</f>
        <v>#REF!</v>
      </c>
      <c r="C11" s="261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41"/>
  <sheetViews>
    <sheetView tabSelected="1" zoomScale="85" zoomScaleNormal="85" topLeftCell="A6" workbookViewId="0">
      <selection activeCell="H25" sqref="H25"/>
    </sheetView>
  </sheetViews>
  <sheetFormatPr defaultColWidth="15.625" defaultRowHeight="20.1" customHeight="1"/>
  <cols>
    <col min="3" max="4" width="15.875"/>
    <col min="7" max="7" width="15.875"/>
    <col min="15" max="20" width="15.625" style="41"/>
  </cols>
  <sheetData>
    <row r="2" customHeight="1" spans="2:21">
      <c r="B2" s="218" t="s">
        <v>20</v>
      </c>
      <c r="C2" s="219"/>
      <c r="D2" s="219"/>
      <c r="E2" s="220"/>
      <c r="F2" s="218" t="s">
        <v>21</v>
      </c>
      <c r="G2" s="219"/>
      <c r="H2" s="219"/>
      <c r="I2" s="220"/>
      <c r="J2" s="218" t="s">
        <v>22</v>
      </c>
      <c r="K2" s="219"/>
      <c r="L2" s="219"/>
      <c r="M2" s="220"/>
      <c r="U2" s="41"/>
    </row>
    <row r="3" customHeight="1" spans="2:24">
      <c r="B3" s="221" t="s">
        <v>23</v>
      </c>
      <c r="C3" s="222"/>
      <c r="D3" s="221" t="s">
        <v>24</v>
      </c>
      <c r="E3" s="222"/>
      <c r="F3" s="221" t="s">
        <v>23</v>
      </c>
      <c r="G3" s="222"/>
      <c r="H3" s="221" t="s">
        <v>24</v>
      </c>
      <c r="I3" s="222"/>
      <c r="J3" s="221" t="s">
        <v>23</v>
      </c>
      <c r="K3" s="222"/>
      <c r="L3" s="221" t="s">
        <v>24</v>
      </c>
      <c r="M3" s="222"/>
      <c r="U3" s="41"/>
      <c r="V3" s="41"/>
      <c r="W3" s="41"/>
      <c r="X3" s="41"/>
    </row>
    <row r="4" customHeight="1" spans="2:24">
      <c r="B4" s="223"/>
      <c r="C4" s="224"/>
      <c r="D4" s="225">
        <v>1000</v>
      </c>
      <c r="E4" s="224"/>
      <c r="F4" s="226">
        <v>0</v>
      </c>
      <c r="G4" s="227"/>
      <c r="H4" s="223"/>
      <c r="I4" s="224"/>
      <c r="J4" s="223">
        <v>0</v>
      </c>
      <c r="K4" s="224"/>
      <c r="L4" s="223"/>
      <c r="M4" s="224"/>
      <c r="U4" s="41"/>
      <c r="V4" s="41"/>
      <c r="W4" s="41"/>
      <c r="X4" s="41"/>
    </row>
    <row r="5" customHeight="1" spans="2:24">
      <c r="B5" s="221" t="s">
        <v>7</v>
      </c>
      <c r="C5" s="222"/>
      <c r="D5" s="221" t="s">
        <v>25</v>
      </c>
      <c r="E5" s="222"/>
      <c r="F5" s="221" t="s">
        <v>26</v>
      </c>
      <c r="G5" s="222"/>
      <c r="H5" s="221" t="s">
        <v>25</v>
      </c>
      <c r="I5" s="222"/>
      <c r="J5" s="221" t="s">
        <v>26</v>
      </c>
      <c r="K5" s="222"/>
      <c r="L5" s="221" t="s">
        <v>25</v>
      </c>
      <c r="M5" s="222"/>
      <c r="U5" s="41"/>
      <c r="V5" s="41"/>
      <c r="W5" s="41"/>
      <c r="X5" s="41"/>
    </row>
    <row r="6" customHeight="1" spans="2:24">
      <c r="B6" s="223">
        <v>2000</v>
      </c>
      <c r="C6" s="224"/>
      <c r="D6" s="226">
        <f>D4*B6</f>
        <v>2000000</v>
      </c>
      <c r="E6" s="227"/>
      <c r="F6" s="223"/>
      <c r="G6" s="224"/>
      <c r="H6" s="228">
        <f>F6*F4</f>
        <v>0</v>
      </c>
      <c r="I6" s="245"/>
      <c r="J6" s="223">
        <v>0</v>
      </c>
      <c r="K6" s="224"/>
      <c r="L6" s="228">
        <f>J4*J6</f>
        <v>0</v>
      </c>
      <c r="M6" s="245"/>
      <c r="U6" s="41"/>
      <c r="V6" s="41"/>
      <c r="W6" s="41"/>
      <c r="X6" s="41"/>
    </row>
    <row r="7" customHeight="1" spans="2:24">
      <c r="B7" s="46"/>
      <c r="C7" s="229"/>
      <c r="D7" s="229"/>
      <c r="E7" s="230"/>
      <c r="F7" s="230"/>
      <c r="G7" s="231" t="s">
        <v>27</v>
      </c>
      <c r="H7" s="232">
        <f>D6+H6+L6</f>
        <v>2000000</v>
      </c>
      <c r="I7" s="231" t="s">
        <v>28</v>
      </c>
      <c r="J7" s="230"/>
      <c r="K7" s="229"/>
      <c r="L7" s="229"/>
      <c r="M7" s="230"/>
      <c r="N7" s="230"/>
      <c r="O7" s="234"/>
      <c r="P7" s="235"/>
      <c r="Q7" s="258"/>
      <c r="U7" s="41"/>
      <c r="V7" s="41"/>
      <c r="W7" s="41"/>
      <c r="X7" s="41"/>
    </row>
    <row r="8" customHeight="1" spans="6:24">
      <c r="F8" s="230"/>
      <c r="G8" s="231" t="s">
        <v>29</v>
      </c>
      <c r="H8" s="233">
        <f>D4</f>
        <v>1000</v>
      </c>
      <c r="I8" s="246">
        <v>1</v>
      </c>
      <c r="J8" s="230"/>
      <c r="K8" s="229"/>
      <c r="L8" s="229"/>
      <c r="M8" s="230"/>
      <c r="N8" s="230"/>
      <c r="O8" s="234"/>
      <c r="P8" s="235"/>
      <c r="Q8" s="258"/>
      <c r="U8" s="41"/>
      <c r="V8" s="41"/>
      <c r="W8" s="41"/>
      <c r="X8" s="41"/>
    </row>
    <row r="9" customHeight="1" spans="2:24">
      <c r="B9" s="46"/>
      <c r="C9" s="234"/>
      <c r="D9" s="235"/>
      <c r="E9" s="46"/>
      <c r="F9" s="46"/>
      <c r="J9" s="46"/>
      <c r="K9" s="46"/>
      <c r="L9" s="46"/>
      <c r="M9" s="46"/>
      <c r="N9" s="39"/>
      <c r="O9" s="39"/>
      <c r="P9" s="39"/>
      <c r="Q9" s="39"/>
      <c r="R9"/>
      <c r="U9" s="41"/>
      <c r="V9" s="41"/>
      <c r="W9" s="41"/>
      <c r="X9" s="41"/>
    </row>
    <row r="10" customHeight="1" spans="2:24">
      <c r="B10" s="231" t="s">
        <v>30</v>
      </c>
      <c r="C10" s="231"/>
      <c r="D10" s="231"/>
      <c r="E10" s="231"/>
      <c r="F10" s="231"/>
      <c r="G10" s="231"/>
      <c r="J10" s="231" t="s">
        <v>31</v>
      </c>
      <c r="K10" s="231"/>
      <c r="L10" s="231"/>
      <c r="M10" s="231"/>
      <c r="R10"/>
      <c r="U10" s="41"/>
      <c r="V10" s="41"/>
      <c r="W10" s="41"/>
      <c r="X10" s="41"/>
    </row>
    <row r="11" customHeight="1" spans="2:24">
      <c r="B11" s="236" t="s">
        <v>32</v>
      </c>
      <c r="C11" s="236" t="s">
        <v>33</v>
      </c>
      <c r="D11" s="236" t="s">
        <v>34</v>
      </c>
      <c r="E11" s="236" t="s">
        <v>35</v>
      </c>
      <c r="F11" s="236" t="s">
        <v>36</v>
      </c>
      <c r="G11" s="236" t="s">
        <v>37</v>
      </c>
      <c r="J11" s="236" t="s">
        <v>32</v>
      </c>
      <c r="K11" s="236"/>
      <c r="L11" s="236" t="s">
        <v>38</v>
      </c>
      <c r="M11" s="236"/>
      <c r="R11"/>
      <c r="U11" s="41"/>
      <c r="V11" s="41"/>
      <c r="W11" s="41"/>
      <c r="X11" s="41"/>
    </row>
    <row r="12" customHeight="1" spans="2:24">
      <c r="B12" s="165" t="s">
        <v>39</v>
      </c>
      <c r="C12" s="237">
        <v>1.664275</v>
      </c>
      <c r="D12" s="238">
        <v>0.8</v>
      </c>
      <c r="E12" s="238">
        <v>0.95</v>
      </c>
      <c r="F12" s="165">
        <v>31</v>
      </c>
      <c r="G12" s="162">
        <f>C12*D12*E12*F12</f>
        <v>39.210319</v>
      </c>
      <c r="J12" s="165" t="s">
        <v>39</v>
      </c>
      <c r="K12" s="165"/>
      <c r="L12" s="247">
        <f>$H$8*C12*D12*E12*$I$8*F12</f>
        <v>39210.319</v>
      </c>
      <c r="M12" s="248"/>
      <c r="R12"/>
      <c r="U12" s="41"/>
      <c r="V12" s="41"/>
      <c r="W12" s="41"/>
      <c r="X12" s="41"/>
    </row>
    <row r="13" customHeight="1" spans="2:24">
      <c r="B13" s="165" t="s">
        <v>40</v>
      </c>
      <c r="C13" s="237">
        <v>2.34177083333333</v>
      </c>
      <c r="D13" s="238">
        <v>0.8</v>
      </c>
      <c r="E13" s="238">
        <v>0.95</v>
      </c>
      <c r="F13" s="165">
        <v>28</v>
      </c>
      <c r="G13" s="162">
        <f t="shared" ref="G13:G23" si="0">C13*D13*E13*F13</f>
        <v>49.8328833333333</v>
      </c>
      <c r="J13" s="165" t="s">
        <v>40</v>
      </c>
      <c r="K13" s="165"/>
      <c r="L13" s="247">
        <f t="shared" ref="L12:L23" si="1">$H$8*C13*D13*E13*$I$8*F13</f>
        <v>49832.8833333333</v>
      </c>
      <c r="M13" s="248"/>
      <c r="R13"/>
      <c r="U13" s="41"/>
      <c r="V13" s="41"/>
      <c r="W13" s="41"/>
      <c r="X13" s="41"/>
    </row>
    <row r="14" customHeight="1" spans="2:24">
      <c r="B14" s="165" t="s">
        <v>41</v>
      </c>
      <c r="C14" s="237">
        <v>3.16712083333333</v>
      </c>
      <c r="D14" s="238">
        <v>0.8</v>
      </c>
      <c r="E14" s="238">
        <v>0.95</v>
      </c>
      <c r="F14" s="165">
        <v>31</v>
      </c>
      <c r="G14" s="162">
        <f t="shared" si="0"/>
        <v>74.6173668333333</v>
      </c>
      <c r="J14" s="165" t="s">
        <v>41</v>
      </c>
      <c r="K14" s="165"/>
      <c r="L14" s="247">
        <f t="shared" si="1"/>
        <v>74617.3668333333</v>
      </c>
      <c r="M14" s="248"/>
      <c r="R14"/>
      <c r="U14" s="41"/>
      <c r="V14" s="41"/>
      <c r="W14" s="41"/>
      <c r="X14" s="41"/>
    </row>
    <row r="15" customHeight="1" spans="2:24">
      <c r="B15" s="165" t="s">
        <v>42</v>
      </c>
      <c r="C15" s="237">
        <v>3.86997083333333</v>
      </c>
      <c r="D15" s="238">
        <v>0.8</v>
      </c>
      <c r="E15" s="238">
        <v>0.95</v>
      </c>
      <c r="F15" s="165">
        <v>30</v>
      </c>
      <c r="G15" s="162">
        <f t="shared" si="0"/>
        <v>88.235335</v>
      </c>
      <c r="H15" s="46"/>
      <c r="I15" s="46"/>
      <c r="J15" s="165" t="s">
        <v>42</v>
      </c>
      <c r="K15" s="165"/>
      <c r="L15" s="247">
        <f t="shared" si="1"/>
        <v>88235.335</v>
      </c>
      <c r="M15" s="248"/>
      <c r="R15"/>
      <c r="U15" s="41"/>
      <c r="V15" s="41"/>
      <c r="W15" s="41"/>
      <c r="X15" s="41"/>
    </row>
    <row r="16" customHeight="1" spans="2:24">
      <c r="B16" s="165" t="s">
        <v>43</v>
      </c>
      <c r="C16" s="237">
        <v>4.0187375</v>
      </c>
      <c r="D16" s="238">
        <v>0.8</v>
      </c>
      <c r="E16" s="238">
        <v>0.95</v>
      </c>
      <c r="F16" s="165">
        <v>31</v>
      </c>
      <c r="G16" s="162">
        <f t="shared" si="0"/>
        <v>94.6814555</v>
      </c>
      <c r="H16" s="46"/>
      <c r="I16" s="46"/>
      <c r="J16" s="165" t="s">
        <v>43</v>
      </c>
      <c r="K16" s="165"/>
      <c r="L16" s="247">
        <f t="shared" si="1"/>
        <v>94681.4555</v>
      </c>
      <c r="M16" s="248"/>
      <c r="R16"/>
      <c r="U16" s="41"/>
      <c r="V16" s="41"/>
      <c r="W16" s="41"/>
      <c r="X16" s="41"/>
    </row>
    <row r="17" customHeight="1" spans="2:24">
      <c r="B17" s="165" t="s">
        <v>44</v>
      </c>
      <c r="C17" s="237">
        <v>3.8155375</v>
      </c>
      <c r="D17" s="238">
        <v>0.8</v>
      </c>
      <c r="E17" s="238">
        <v>0.95</v>
      </c>
      <c r="F17" s="165">
        <v>30</v>
      </c>
      <c r="G17" s="162">
        <f t="shared" si="0"/>
        <v>86.994255</v>
      </c>
      <c r="H17" s="46"/>
      <c r="I17" s="46"/>
      <c r="J17" s="165" t="s">
        <v>44</v>
      </c>
      <c r="K17" s="165"/>
      <c r="L17" s="247">
        <f t="shared" si="1"/>
        <v>86994.255</v>
      </c>
      <c r="M17" s="248"/>
      <c r="R17"/>
      <c r="U17" s="41"/>
      <c r="V17" s="41"/>
      <c r="W17" s="41"/>
      <c r="X17" s="41"/>
    </row>
    <row r="18" customHeight="1" spans="2:24">
      <c r="B18" s="165" t="s">
        <v>45</v>
      </c>
      <c r="C18" s="237">
        <v>5.03984583333333</v>
      </c>
      <c r="D18" s="238">
        <v>0.8</v>
      </c>
      <c r="E18" s="238">
        <v>0.95</v>
      </c>
      <c r="F18" s="165">
        <v>31</v>
      </c>
      <c r="G18" s="162">
        <f t="shared" si="0"/>
        <v>118.738767833333</v>
      </c>
      <c r="H18" s="46"/>
      <c r="I18" s="46"/>
      <c r="J18" s="165" t="s">
        <v>45</v>
      </c>
      <c r="K18" s="165"/>
      <c r="L18" s="247">
        <f t="shared" si="1"/>
        <v>118738.767833333</v>
      </c>
      <c r="M18" s="248"/>
      <c r="R18"/>
      <c r="U18" s="41"/>
      <c r="V18" s="41"/>
      <c r="W18" s="41"/>
      <c r="X18" s="41"/>
    </row>
    <row r="19" customHeight="1" spans="2:24">
      <c r="B19" s="165" t="s">
        <v>46</v>
      </c>
      <c r="C19" s="237">
        <v>4.857025</v>
      </c>
      <c r="D19" s="238">
        <v>0.8</v>
      </c>
      <c r="E19" s="238">
        <v>0.95</v>
      </c>
      <c r="F19" s="165">
        <v>31</v>
      </c>
      <c r="G19" s="162">
        <f t="shared" si="0"/>
        <v>114.431509</v>
      </c>
      <c r="H19" s="46"/>
      <c r="I19" s="46"/>
      <c r="J19" s="165" t="s">
        <v>46</v>
      </c>
      <c r="K19" s="165"/>
      <c r="L19" s="247">
        <f t="shared" si="1"/>
        <v>114431.509</v>
      </c>
      <c r="M19" s="248"/>
      <c r="R19"/>
      <c r="U19" s="41"/>
      <c r="V19" s="41"/>
      <c r="W19" s="41"/>
      <c r="X19" s="41"/>
    </row>
    <row r="20" customHeight="1" spans="2:24">
      <c r="B20" s="165" t="s">
        <v>47</v>
      </c>
      <c r="C20" s="237">
        <v>3.440775</v>
      </c>
      <c r="D20" s="238">
        <v>0.8</v>
      </c>
      <c r="E20" s="238">
        <v>0.95</v>
      </c>
      <c r="F20" s="165">
        <v>30</v>
      </c>
      <c r="G20" s="162">
        <f t="shared" si="0"/>
        <v>78.44967</v>
      </c>
      <c r="H20" s="46"/>
      <c r="I20" s="46"/>
      <c r="J20" s="165" t="s">
        <v>47</v>
      </c>
      <c r="K20" s="165"/>
      <c r="L20" s="247">
        <f t="shared" si="1"/>
        <v>78449.67</v>
      </c>
      <c r="M20" s="248"/>
      <c r="R20"/>
      <c r="U20" s="41"/>
      <c r="V20" s="41"/>
      <c r="W20" s="41"/>
      <c r="X20" s="41"/>
    </row>
    <row r="21" customHeight="1" spans="2:24">
      <c r="B21" s="165" t="s">
        <v>48</v>
      </c>
      <c r="C21" s="237">
        <v>2.15424583333333</v>
      </c>
      <c r="D21" s="238">
        <v>0.8</v>
      </c>
      <c r="E21" s="238">
        <v>0.95</v>
      </c>
      <c r="F21" s="165">
        <v>31</v>
      </c>
      <c r="G21" s="162">
        <f t="shared" si="0"/>
        <v>50.7540318333333</v>
      </c>
      <c r="H21" s="46"/>
      <c r="I21" s="46"/>
      <c r="J21" s="165" t="s">
        <v>48</v>
      </c>
      <c r="K21" s="165"/>
      <c r="L21" s="247">
        <f t="shared" si="1"/>
        <v>50754.0318333333</v>
      </c>
      <c r="M21" s="248"/>
      <c r="R21"/>
      <c r="U21" s="41"/>
      <c r="V21" s="41"/>
      <c r="W21" s="41"/>
      <c r="X21" s="41"/>
    </row>
    <row r="22" customHeight="1" spans="2:24">
      <c r="B22" s="165" t="s">
        <v>49</v>
      </c>
      <c r="C22" s="237">
        <v>1.89087916666667</v>
      </c>
      <c r="D22" s="238">
        <v>0.8</v>
      </c>
      <c r="E22" s="238">
        <v>0.95</v>
      </c>
      <c r="F22" s="165">
        <v>30</v>
      </c>
      <c r="G22" s="162">
        <f t="shared" si="0"/>
        <v>43.112045</v>
      </c>
      <c r="H22" s="46"/>
      <c r="I22" s="46"/>
      <c r="J22" s="165" t="s">
        <v>49</v>
      </c>
      <c r="K22" s="165"/>
      <c r="L22" s="247">
        <f t="shared" si="1"/>
        <v>43112.045</v>
      </c>
      <c r="M22" s="248"/>
      <c r="P22" s="249">
        <v>1.91</v>
      </c>
      <c r="Q22" s="259">
        <f ca="1" t="shared" ref="Q22:Q33" si="2">AVERAGE(P22:XEX22)</f>
        <v>1.80391304347826</v>
      </c>
      <c r="R22"/>
      <c r="U22" s="41"/>
      <c r="V22" s="41"/>
      <c r="W22" s="41"/>
      <c r="X22" s="41"/>
    </row>
    <row r="23" customHeight="1" spans="2:20">
      <c r="B23" s="165" t="s">
        <v>50</v>
      </c>
      <c r="C23" s="237">
        <v>1.4648625</v>
      </c>
      <c r="D23" s="238">
        <v>0.8</v>
      </c>
      <c r="E23" s="238">
        <v>0.95</v>
      </c>
      <c r="F23" s="165">
        <v>31</v>
      </c>
      <c r="G23" s="162">
        <f t="shared" si="0"/>
        <v>34.5121605</v>
      </c>
      <c r="H23" s="46"/>
      <c r="I23" s="46"/>
      <c r="J23" s="165" t="s">
        <v>50</v>
      </c>
      <c r="K23" s="165"/>
      <c r="L23" s="247">
        <f t="shared" si="1"/>
        <v>34512.1605</v>
      </c>
      <c r="M23" s="248"/>
      <c r="P23" s="249">
        <v>3.27</v>
      </c>
      <c r="Q23" s="259">
        <f ca="1" t="shared" si="2"/>
        <v>2.95739130434783</v>
      </c>
      <c r="R23"/>
      <c r="S23"/>
      <c r="T23"/>
    </row>
    <row r="24" customHeight="1" spans="2:20">
      <c r="B24" s="165" t="s">
        <v>51</v>
      </c>
      <c r="C24" s="239">
        <f>AVERAGE(C12:C23)</f>
        <v>3.14375381944444</v>
      </c>
      <c r="D24" s="165"/>
      <c r="E24" s="165"/>
      <c r="F24" s="165"/>
      <c r="G24" s="240">
        <f>SUM(G12:G23)</f>
        <v>873.569798833333</v>
      </c>
      <c r="H24" s="46">
        <f>G24/0.95</f>
        <v>919.547156666667</v>
      </c>
      <c r="I24" s="46"/>
      <c r="J24" s="250" t="s">
        <v>52</v>
      </c>
      <c r="K24" s="250"/>
      <c r="L24" s="251">
        <f>SUM(L12:L23)</f>
        <v>873569.798833333</v>
      </c>
      <c r="M24" s="252"/>
      <c r="P24" s="249">
        <v>4.64</v>
      </c>
      <c r="Q24" s="259">
        <f ca="1" t="shared" si="2"/>
        <v>3.88304347826087</v>
      </c>
      <c r="R24"/>
      <c r="S24"/>
      <c r="T24"/>
    </row>
    <row r="25" customHeight="1" spans="2:20">
      <c r="B25" s="235"/>
      <c r="C25" s="235"/>
      <c r="D25" s="235"/>
      <c r="E25" s="235"/>
      <c r="F25" s="235"/>
      <c r="G25" s="235"/>
      <c r="H25" s="235"/>
      <c r="I25" s="235"/>
      <c r="L25" s="41"/>
      <c r="M25" s="41"/>
      <c r="N25" s="39"/>
      <c r="O25" s="39"/>
      <c r="P25" s="249">
        <v>5.05</v>
      </c>
      <c r="Q25" s="259">
        <f ca="1" t="shared" si="2"/>
        <v>4.83434782608696</v>
      </c>
      <c r="R25"/>
      <c r="S25"/>
      <c r="T25"/>
    </row>
    <row r="26" ht="24.95" customHeight="1" spans="2:20">
      <c r="B26" s="231" t="s">
        <v>53</v>
      </c>
      <c r="C26" s="231"/>
      <c r="D26" s="231"/>
      <c r="E26" s="231"/>
      <c r="F26" s="231"/>
      <c r="G26" s="231"/>
      <c r="H26" s="231"/>
      <c r="I26" s="253"/>
      <c r="J26" s="231" t="s">
        <v>54</v>
      </c>
      <c r="K26" s="231"/>
      <c r="L26" s="231"/>
      <c r="M26" s="231"/>
      <c r="N26" s="39"/>
      <c r="O26" s="39"/>
      <c r="P26" s="249">
        <v>6.21</v>
      </c>
      <c r="Q26" s="259">
        <f ca="1" t="shared" si="2"/>
        <v>5.63782608695652</v>
      </c>
      <c r="R26"/>
      <c r="S26"/>
      <c r="T26"/>
    </row>
    <row r="27" ht="24.95" customHeight="1" spans="2:17">
      <c r="B27" s="241" t="s">
        <v>55</v>
      </c>
      <c r="C27" s="241" t="s">
        <v>38</v>
      </c>
      <c r="D27" s="241" t="s">
        <v>56</v>
      </c>
      <c r="E27" s="241" t="s">
        <v>57</v>
      </c>
      <c r="F27" s="241" t="s">
        <v>58</v>
      </c>
      <c r="G27" s="242" t="s">
        <v>59</v>
      </c>
      <c r="H27" s="241" t="s">
        <v>60</v>
      </c>
      <c r="I27" s="186"/>
      <c r="J27" s="254">
        <f>H7*0.0035</f>
        <v>7000</v>
      </c>
      <c r="K27" s="255"/>
      <c r="L27" s="255"/>
      <c r="M27" s="256"/>
      <c r="N27" s="39"/>
      <c r="O27" s="39"/>
      <c r="P27" s="249">
        <v>6.45</v>
      </c>
      <c r="Q27" s="259">
        <f ca="1" t="shared" si="2"/>
        <v>6.37521739130435</v>
      </c>
    </row>
    <row r="28" ht="24.95" customHeight="1" spans="2:17">
      <c r="B28" s="241"/>
      <c r="C28" s="241" t="s">
        <v>61</v>
      </c>
      <c r="D28" s="241" t="s">
        <v>62</v>
      </c>
      <c r="E28" s="241" t="s">
        <v>62</v>
      </c>
      <c r="F28" s="241" t="s">
        <v>62</v>
      </c>
      <c r="G28" s="33" t="s">
        <v>62</v>
      </c>
      <c r="H28" s="241" t="s">
        <v>63</v>
      </c>
      <c r="I28" s="186"/>
      <c r="J28" s="231" t="s">
        <v>64</v>
      </c>
      <c r="K28" s="231"/>
      <c r="L28" s="231"/>
      <c r="M28" s="231"/>
      <c r="N28" s="39"/>
      <c r="O28" s="39"/>
      <c r="P28" s="249">
        <v>6.54</v>
      </c>
      <c r="Q28" s="259">
        <f ca="1" t="shared" si="2"/>
        <v>6.55913043478261</v>
      </c>
    </row>
    <row r="29" ht="24.95" customHeight="1" spans="2:17">
      <c r="B29" s="241" t="s">
        <v>65</v>
      </c>
      <c r="C29" s="243">
        <f>'光伏发电衰减表 输入数据'!D6</f>
        <v>864834.100845</v>
      </c>
      <c r="D29" s="244">
        <f>C29*305/1000/1000</f>
        <v>263.774400757725</v>
      </c>
      <c r="E29" s="244">
        <f>C29*0.814/1000</f>
        <v>703.97495808783</v>
      </c>
      <c r="F29" s="244">
        <f>C29*6.2/1000/1000</f>
        <v>5.361971425239</v>
      </c>
      <c r="G29" s="98">
        <f>C29*2.1/1000/1000</f>
        <v>1.8161516117745</v>
      </c>
      <c r="H29" s="243">
        <f>C29*0.00177</f>
        <v>1530.75635849565</v>
      </c>
      <c r="I29" s="186"/>
      <c r="J29" s="254">
        <f>H8*1000*0.03</f>
        <v>30000</v>
      </c>
      <c r="K29" s="255"/>
      <c r="L29" s="255"/>
      <c r="M29" s="256"/>
      <c r="N29" s="39"/>
      <c r="O29" s="39"/>
      <c r="P29" s="249">
        <v>5.58</v>
      </c>
      <c r="Q29" s="259">
        <f ca="1" t="shared" si="2"/>
        <v>5.52347826086956</v>
      </c>
    </row>
    <row r="30" ht="24.95" customHeight="1" spans="2:17">
      <c r="B30" s="241" t="s">
        <v>66</v>
      </c>
      <c r="C30" s="243">
        <f>'光伏发电衰减表 输入数据'!D31</f>
        <v>20572568.762525</v>
      </c>
      <c r="D30" s="244">
        <f>C30*305/1000/1000</f>
        <v>6274.63347257013</v>
      </c>
      <c r="E30" s="244">
        <f>C30*0.814/1000</f>
        <v>16746.0709726954</v>
      </c>
      <c r="F30" s="244">
        <f>C30*6.2/1000/1000</f>
        <v>127.549926327655</v>
      </c>
      <c r="G30" s="98">
        <f>C30*2.1/1000/1000</f>
        <v>43.2023944013025</v>
      </c>
      <c r="H30" s="243">
        <f>C30*0.00177</f>
        <v>36413.4467096693</v>
      </c>
      <c r="I30" s="186"/>
      <c r="L30" s="41"/>
      <c r="M30" s="41"/>
      <c r="N30" s="39"/>
      <c r="O30" s="39"/>
      <c r="P30" s="249">
        <v>4.01</v>
      </c>
      <c r="Q30" s="259">
        <f ca="1" t="shared" si="2"/>
        <v>4.21695652173913</v>
      </c>
    </row>
    <row r="31" ht="24.95" customHeight="1" spans="2:17">
      <c r="B31" s="17"/>
      <c r="C31" s="231"/>
      <c r="D31" s="231"/>
      <c r="E31" s="231"/>
      <c r="F31" s="231"/>
      <c r="G31" s="231"/>
      <c r="H31" s="231"/>
      <c r="I31" s="186"/>
      <c r="J31" s="186"/>
      <c r="K31" s="186"/>
      <c r="L31" s="186"/>
      <c r="M31" s="186"/>
      <c r="N31" s="39"/>
      <c r="O31" s="39"/>
      <c r="P31" s="249"/>
      <c r="Q31" s="259">
        <f ca="1" t="shared" si="2"/>
        <v>2.7504347826087</v>
      </c>
    </row>
    <row r="32" ht="24.95" customHeight="1" spans="2:17">
      <c r="B32" s="17"/>
      <c r="C32" s="231" t="s">
        <v>67</v>
      </c>
      <c r="D32" s="231"/>
      <c r="E32" s="231"/>
      <c r="F32" s="231"/>
      <c r="G32" s="231"/>
      <c r="H32" s="229"/>
      <c r="I32" s="186"/>
      <c r="J32" s="186"/>
      <c r="K32" s="186"/>
      <c r="L32" s="186"/>
      <c r="M32" s="186"/>
      <c r="N32" s="39"/>
      <c r="O32" s="39"/>
      <c r="P32" s="249">
        <v>2.82</v>
      </c>
      <c r="Q32" s="259">
        <f ca="1" t="shared" si="2"/>
        <v>1.7704347826087</v>
      </c>
    </row>
    <row r="33" ht="24.95" customHeight="1" spans="2:19">
      <c r="B33" s="17"/>
      <c r="C33" s="236"/>
      <c r="D33" s="241" t="s">
        <v>68</v>
      </c>
      <c r="E33" s="241" t="s">
        <v>69</v>
      </c>
      <c r="F33" s="241" t="s">
        <v>70</v>
      </c>
      <c r="G33" s="241" t="s">
        <v>71</v>
      </c>
      <c r="H33" s="229"/>
      <c r="I33" s="257"/>
      <c r="J33" s="257"/>
      <c r="K33" s="257"/>
      <c r="L33" s="257"/>
      <c r="M33" s="257"/>
      <c r="N33" s="39"/>
      <c r="O33" s="39"/>
      <c r="P33" s="249">
        <v>1.96</v>
      </c>
      <c r="Q33" s="259">
        <f ca="1" t="shared" si="2"/>
        <v>1.26782608695652</v>
      </c>
      <c r="S33" s="260"/>
    </row>
    <row r="34" ht="24.95" customHeight="1" spans="2:19">
      <c r="B34" s="17"/>
      <c r="C34" s="241" t="s">
        <v>72</v>
      </c>
      <c r="D34" s="243">
        <f>C30/30</f>
        <v>685752.292084167</v>
      </c>
      <c r="E34" s="244">
        <f>D34*0.814/1000</f>
        <v>558.202365756512</v>
      </c>
      <c r="F34" s="244"/>
      <c r="G34" s="244">
        <f>F34*E34</f>
        <v>0</v>
      </c>
      <c r="H34" s="229"/>
      <c r="I34" s="46"/>
      <c r="J34" s="46"/>
      <c r="K34" s="46"/>
      <c r="L34" s="46"/>
      <c r="M34" s="46"/>
      <c r="N34" s="39"/>
      <c r="O34" s="39"/>
      <c r="P34" s="249">
        <v>1.21</v>
      </c>
      <c r="Q34" s="39"/>
      <c r="S34" s="260"/>
    </row>
    <row r="35" ht="24.95" customHeight="1" spans="2:19">
      <c r="B35" s="17"/>
      <c r="C35" s="241" t="s">
        <v>66</v>
      </c>
      <c r="D35" s="243">
        <f>D34*30</f>
        <v>20572568.762525</v>
      </c>
      <c r="E35" s="244">
        <f>D35*0.814/1000</f>
        <v>16746.0709726954</v>
      </c>
      <c r="F35" s="244"/>
      <c r="G35" s="244">
        <f>E35*F35</f>
        <v>0</v>
      </c>
      <c r="H35" s="229"/>
      <c r="I35" s="46"/>
      <c r="J35" s="46"/>
      <c r="K35" s="46"/>
      <c r="L35" s="46"/>
      <c r="M35" s="46"/>
      <c r="N35" s="39"/>
      <c r="O35" s="39"/>
      <c r="P35" s="249">
        <v>4.14</v>
      </c>
      <c r="Q35" s="39"/>
      <c r="S35" s="260"/>
    </row>
    <row r="36" customHeight="1" spans="15:19">
      <c r="O36"/>
      <c r="P36"/>
      <c r="Q36"/>
      <c r="S36" s="260"/>
    </row>
    <row r="37" customHeight="1" spans="15:17">
      <c r="O37"/>
      <c r="P37"/>
      <c r="Q37"/>
    </row>
    <row r="38" customHeight="1" spans="15:17">
      <c r="O38"/>
      <c r="P38"/>
      <c r="Q38"/>
    </row>
    <row r="39" customHeight="1" spans="15:17">
      <c r="O39"/>
      <c r="P39"/>
      <c r="Q39"/>
    </row>
    <row r="40" customHeight="1" spans="15:17">
      <c r="O40"/>
      <c r="P40"/>
      <c r="Q40"/>
    </row>
    <row r="41" customHeight="1" spans="15:17">
      <c r="O41"/>
      <c r="P41"/>
      <c r="Q41"/>
    </row>
  </sheetData>
  <mergeCells count="67">
    <mergeCell ref="B2:E2"/>
    <mergeCell ref="F2:I2"/>
    <mergeCell ref="J2:M2"/>
    <mergeCell ref="B3:C3"/>
    <mergeCell ref="D3:E3"/>
    <mergeCell ref="F3:G3"/>
    <mergeCell ref="H3:I3"/>
    <mergeCell ref="J3:K3"/>
    <mergeCell ref="L3:M3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10:G10"/>
    <mergeCell ref="J10:M10"/>
    <mergeCell ref="J11:K11"/>
    <mergeCell ref="L11:M11"/>
    <mergeCell ref="J12:K12"/>
    <mergeCell ref="L12:M12"/>
    <mergeCell ref="J13:K13"/>
    <mergeCell ref="L13:M13"/>
    <mergeCell ref="J14:K14"/>
    <mergeCell ref="L14:M14"/>
    <mergeCell ref="J15:K15"/>
    <mergeCell ref="L15:M15"/>
    <mergeCell ref="J16:K16"/>
    <mergeCell ref="L16:M16"/>
    <mergeCell ref="J17:K17"/>
    <mergeCell ref="L17:M17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D24:F24"/>
    <mergeCell ref="J24:K24"/>
    <mergeCell ref="L24:M24"/>
    <mergeCell ref="B26:H26"/>
    <mergeCell ref="J26:M26"/>
    <mergeCell ref="J27:M27"/>
    <mergeCell ref="J28:M28"/>
    <mergeCell ref="J29:M29"/>
    <mergeCell ref="C32:G32"/>
    <mergeCell ref="B27:B28"/>
    <mergeCell ref="B32:B35"/>
    <mergeCell ref="H32:H35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4"/>
  <sheetViews>
    <sheetView zoomScale="85" zoomScaleNormal="85" workbookViewId="0">
      <selection activeCell="D6" sqref="D6:D30"/>
    </sheetView>
  </sheetViews>
  <sheetFormatPr defaultColWidth="9" defaultRowHeight="20.1" customHeight="1"/>
  <cols>
    <col min="2" max="2" width="6.375" customWidth="1"/>
    <col min="3" max="3" width="17.75" customWidth="1"/>
    <col min="4" max="4" width="14.25" style="41" customWidth="1"/>
    <col min="5" max="5" width="18.75" style="41" customWidth="1"/>
    <col min="6" max="6" width="16.625" style="41" customWidth="1"/>
    <col min="7" max="7" width="19" customWidth="1"/>
    <col min="8" max="9" width="20.5" customWidth="1"/>
    <col min="10" max="10" width="17.375" customWidth="1"/>
    <col min="11" max="11" width="18.625" style="17" customWidth="1"/>
    <col min="12" max="12" width="16.5" customWidth="1"/>
    <col min="13" max="14" width="17.375" customWidth="1"/>
    <col min="15" max="15" width="20.625" customWidth="1"/>
    <col min="16" max="16" width="29.625" customWidth="1"/>
    <col min="17" max="17" width="18.5" customWidth="1"/>
    <col min="18" max="18" width="11.375" customWidth="1"/>
    <col min="19" max="21" width="9.5" customWidth="1"/>
    <col min="22" max="25" width="16" customWidth="1"/>
    <col min="26" max="31" width="9" customWidth="1"/>
  </cols>
  <sheetData>
    <row r="1" customHeight="1" spans="5:7">
      <c r="E1" s="176"/>
      <c r="F1" s="177"/>
      <c r="G1" s="26"/>
    </row>
    <row r="2" customHeight="1" spans="5:7">
      <c r="E2" s="176"/>
      <c r="F2" s="177"/>
      <c r="G2" s="26"/>
    </row>
    <row r="3" customHeight="1" spans="16:25">
      <c r="P3" s="17"/>
      <c r="Q3" s="203" t="s">
        <v>73</v>
      </c>
      <c r="R3" s="203"/>
      <c r="S3" s="203"/>
      <c r="T3" s="203"/>
      <c r="U3" s="203"/>
      <c r="V3" s="203"/>
      <c r="W3" s="204"/>
      <c r="X3" s="204"/>
      <c r="Y3" s="217"/>
    </row>
    <row r="4" customHeight="1" spans="1:25">
      <c r="A4" s="39"/>
      <c r="B4" s="178" t="s">
        <v>74</v>
      </c>
      <c r="C4" s="179"/>
      <c r="D4" s="179"/>
      <c r="E4" s="180" t="s">
        <v>75</v>
      </c>
      <c r="F4" s="180" t="s">
        <v>76</v>
      </c>
      <c r="G4" s="181"/>
      <c r="P4" s="17"/>
      <c r="Q4" s="61" t="s">
        <v>77</v>
      </c>
      <c r="R4" s="33" t="s">
        <v>78</v>
      </c>
      <c r="S4" s="33" t="s">
        <v>79</v>
      </c>
      <c r="T4" s="33" t="s">
        <v>80</v>
      </c>
      <c r="U4" s="33" t="s">
        <v>81</v>
      </c>
      <c r="V4" s="33" t="s">
        <v>82</v>
      </c>
      <c r="W4" s="33" t="s">
        <v>83</v>
      </c>
      <c r="X4" s="33" t="s">
        <v>84</v>
      </c>
      <c r="Y4" s="33" t="s">
        <v>85</v>
      </c>
    </row>
    <row r="5" customHeight="1" spans="1:25">
      <c r="A5" s="39"/>
      <c r="B5" s="47" t="s">
        <v>86</v>
      </c>
      <c r="C5" s="47" t="s">
        <v>87</v>
      </c>
      <c r="D5" s="47" t="s">
        <v>68</v>
      </c>
      <c r="E5" s="182">
        <v>0.924</v>
      </c>
      <c r="F5" s="49">
        <f>1-E5</f>
        <v>0.076</v>
      </c>
      <c r="G5" s="183" t="s">
        <v>88</v>
      </c>
      <c r="H5" s="184" t="s">
        <v>89</v>
      </c>
      <c r="I5" s="184" t="s">
        <v>90</v>
      </c>
      <c r="J5" s="191" t="s">
        <v>91</v>
      </c>
      <c r="K5" s="192" t="s">
        <v>92</v>
      </c>
      <c r="L5" s="193" t="s">
        <v>93</v>
      </c>
      <c r="M5" s="194" t="s">
        <v>94</v>
      </c>
      <c r="N5" s="144"/>
      <c r="O5" s="41"/>
      <c r="P5" s="58" t="s">
        <v>95</v>
      </c>
      <c r="Q5" s="63"/>
      <c r="R5" s="205">
        <v>0.93573</v>
      </c>
      <c r="S5" s="205">
        <v>0.93573</v>
      </c>
      <c r="T5" s="205">
        <v>0.594328</v>
      </c>
      <c r="U5" s="206" t="s">
        <v>96</v>
      </c>
      <c r="V5" s="33">
        <f>光伏发电衰减表min!P3</f>
        <v>0</v>
      </c>
      <c r="W5" s="33">
        <f>光伏发电衰减表min!Q3</f>
        <v>0</v>
      </c>
      <c r="X5" s="33">
        <f>光伏发电衰减表min!R3</f>
        <v>0</v>
      </c>
      <c r="Y5" s="33">
        <f>光伏发电衰减表min!S3</f>
        <v>0</v>
      </c>
    </row>
    <row r="6" customHeight="1" spans="1:25">
      <c r="A6" s="39"/>
      <c r="B6" s="47">
        <v>1</v>
      </c>
      <c r="C6" s="51">
        <v>0.99</v>
      </c>
      <c r="D6" s="52">
        <f t="shared" ref="D6:D35" si="0">$P$12*C6</f>
        <v>864834.100845</v>
      </c>
      <c r="E6" s="53">
        <f>D6*$E$5</f>
        <v>799106.70918078</v>
      </c>
      <c r="F6" s="53">
        <f>D6*$F$5</f>
        <v>65727.39166422</v>
      </c>
      <c r="G6" s="54">
        <f>($P$14*C6*$E$5*$R$10+$P$14*C6*$F$5*$P$6+$P$16*C6*$E$5*$R$19+$P$16*C6*$F$5*$P$6)/1.13</f>
        <v>557610.396908688</v>
      </c>
      <c r="H6" s="54">
        <f>$D$35/1.06</f>
        <v>28301.8867924528</v>
      </c>
      <c r="I6" s="54">
        <f>$F$35/1.06</f>
        <v>6603.77358490566</v>
      </c>
      <c r="J6" s="195">
        <v>0</v>
      </c>
      <c r="K6" s="150">
        <f>'税金参数（新）'!R4</f>
        <v>0</v>
      </c>
      <c r="L6" s="196">
        <v>0</v>
      </c>
      <c r="M6" s="197">
        <f>G6-H6-I6-J6-K6</f>
        <v>522704.73653133</v>
      </c>
      <c r="N6" s="198"/>
      <c r="P6" s="60">
        <v>0.3515</v>
      </c>
      <c r="Q6" s="61" t="s">
        <v>97</v>
      </c>
      <c r="R6" s="33" t="s">
        <v>78</v>
      </c>
      <c r="S6" s="33" t="s">
        <v>79</v>
      </c>
      <c r="T6" s="33" t="s">
        <v>80</v>
      </c>
      <c r="U6" s="33" t="s">
        <v>81</v>
      </c>
      <c r="V6" s="61"/>
      <c r="W6" s="17"/>
      <c r="X6" s="17"/>
      <c r="Y6" s="17"/>
    </row>
    <row r="7" customHeight="1" spans="1:25">
      <c r="A7" s="39"/>
      <c r="B7" s="47">
        <v>2</v>
      </c>
      <c r="C7" s="51">
        <f t="shared" ref="C7:C35" si="1">C6-0.004</f>
        <v>0.986</v>
      </c>
      <c r="D7" s="52">
        <f t="shared" si="0"/>
        <v>861339.821649667</v>
      </c>
      <c r="E7" s="53">
        <f>D7*$E$5</f>
        <v>795877.995204292</v>
      </c>
      <c r="F7" s="53">
        <f t="shared" ref="F7:F9" si="2">D7*$F$5</f>
        <v>65461.8264453746</v>
      </c>
      <c r="G7" s="54">
        <f t="shared" ref="G7:G35" si="3">($P$14*C7*$E$5*$R$10+$P$14*C7*$F$5*$P$6+$P$16*C7*$E$5*$R$19+$P$16*C7*$F$5*$P$6)/1.13</f>
        <v>555357.425608047</v>
      </c>
      <c r="H7" s="54">
        <f t="shared" ref="H7:H35" si="4">$D$35/1.06</f>
        <v>28301.8867924528</v>
      </c>
      <c r="I7" s="54">
        <f t="shared" ref="I7:I35" si="5">$F$35/1.06</f>
        <v>6603.77358490566</v>
      </c>
      <c r="J7" s="195">
        <v>0</v>
      </c>
      <c r="K7" s="150">
        <f>'税金参数（新）'!R5</f>
        <v>0</v>
      </c>
      <c r="L7" s="196">
        <v>0</v>
      </c>
      <c r="M7" s="197">
        <f t="shared" ref="M7:M35" si="6">G7-H7-I7-J7-K7</f>
        <v>520451.765230689</v>
      </c>
      <c r="N7" s="198"/>
      <c r="P7" s="199" t="s">
        <v>98</v>
      </c>
      <c r="Q7" s="63"/>
      <c r="R7" s="64">
        <f>R5+V5+Y5</f>
        <v>0.93573</v>
      </c>
      <c r="S7" s="64">
        <f>S5+W5+Y5</f>
        <v>0.93573</v>
      </c>
      <c r="T7" s="64">
        <f>T5+X5+Y5</f>
        <v>0.594328</v>
      </c>
      <c r="U7" s="64" t="s">
        <v>96</v>
      </c>
      <c r="V7" s="63"/>
      <c r="W7" s="17"/>
      <c r="X7" s="17"/>
      <c r="Y7" s="17"/>
    </row>
    <row r="8" customHeight="1" spans="1:25">
      <c r="A8" s="39"/>
      <c r="B8" s="47">
        <v>3</v>
      </c>
      <c r="C8" s="51">
        <f t="shared" si="1"/>
        <v>0.982</v>
      </c>
      <c r="D8" s="52">
        <f t="shared" si="0"/>
        <v>857845.542454333</v>
      </c>
      <c r="E8" s="53">
        <f>D8*$E$5</f>
        <v>792649.281227804</v>
      </c>
      <c r="F8" s="53">
        <f t="shared" si="2"/>
        <v>65196.2612265293</v>
      </c>
      <c r="G8" s="54">
        <f t="shared" si="3"/>
        <v>553104.454307406</v>
      </c>
      <c r="H8" s="54">
        <f t="shared" si="4"/>
        <v>28301.8867924528</v>
      </c>
      <c r="I8" s="54">
        <f t="shared" si="5"/>
        <v>6603.77358490566</v>
      </c>
      <c r="J8" s="195">
        <v>0</v>
      </c>
      <c r="K8" s="150">
        <f>'税金参数（新）'!R6</f>
        <v>73606.4830259794</v>
      </c>
      <c r="L8" s="196">
        <v>0</v>
      </c>
      <c r="M8" s="197">
        <f t="shared" si="6"/>
        <v>444592.310904068</v>
      </c>
      <c r="N8" s="198"/>
      <c r="P8" s="200">
        <v>1</v>
      </c>
      <c r="Q8" s="33"/>
      <c r="R8" s="33" t="s">
        <v>99</v>
      </c>
      <c r="S8" s="33" t="s">
        <v>99</v>
      </c>
      <c r="T8" s="33" t="s">
        <v>99</v>
      </c>
      <c r="U8" s="33" t="s">
        <v>99</v>
      </c>
      <c r="V8" s="33" t="s">
        <v>100</v>
      </c>
      <c r="W8" s="17"/>
      <c r="X8" s="17"/>
      <c r="Y8" s="17"/>
    </row>
    <row r="9" customHeight="1" spans="1:28">
      <c r="A9" s="39"/>
      <c r="B9" s="47">
        <v>4</v>
      </c>
      <c r="C9" s="51">
        <f t="shared" si="1"/>
        <v>0.978</v>
      </c>
      <c r="D9" s="52">
        <f t="shared" si="0"/>
        <v>854351.263259</v>
      </c>
      <c r="E9" s="53">
        <f>D9*$E$5</f>
        <v>789420.567251316</v>
      </c>
      <c r="F9" s="53">
        <f t="shared" si="2"/>
        <v>64930.696007684</v>
      </c>
      <c r="G9" s="54">
        <f t="shared" si="3"/>
        <v>550851.483006765</v>
      </c>
      <c r="H9" s="54">
        <f t="shared" si="4"/>
        <v>28301.8867924528</v>
      </c>
      <c r="I9" s="54">
        <f t="shared" si="5"/>
        <v>6603.77358490566</v>
      </c>
      <c r="J9" s="195">
        <v>0</v>
      </c>
      <c r="K9" s="150">
        <f>'税金参数（新）'!R7</f>
        <v>73297.617514672</v>
      </c>
      <c r="L9" s="196">
        <v>0</v>
      </c>
      <c r="M9" s="197">
        <f t="shared" si="6"/>
        <v>442648.205114735</v>
      </c>
      <c r="N9" s="198"/>
      <c r="P9" s="65" t="s">
        <v>101</v>
      </c>
      <c r="Q9" s="34"/>
      <c r="R9" s="206">
        <v>0</v>
      </c>
      <c r="S9" s="206">
        <v>4</v>
      </c>
      <c r="T9" s="206">
        <v>5</v>
      </c>
      <c r="U9" s="206">
        <v>0</v>
      </c>
      <c r="V9" s="33">
        <v>9</v>
      </c>
      <c r="W9" s="34" t="s">
        <v>102</v>
      </c>
      <c r="X9" s="67">
        <f>(R7*R9+S7*S9+T7*T9)/V9</f>
        <v>0.746062222222222</v>
      </c>
      <c r="Y9" s="68"/>
      <c r="Z9" s="68"/>
      <c r="AA9" s="68"/>
      <c r="AB9" s="69"/>
    </row>
    <row r="10" customHeight="1" spans="1:25">
      <c r="A10" s="39"/>
      <c r="B10" s="47">
        <v>5</v>
      </c>
      <c r="C10" s="51">
        <f t="shared" si="1"/>
        <v>0.974</v>
      </c>
      <c r="D10" s="52">
        <f t="shared" si="0"/>
        <v>850856.984063667</v>
      </c>
      <c r="E10" s="53">
        <f t="shared" ref="E10:E35" si="7">D10*$E$5</f>
        <v>786191.853274828</v>
      </c>
      <c r="F10" s="53">
        <f t="shared" ref="F10:F35" si="8">D10*$F$5</f>
        <v>64665.1307888386</v>
      </c>
      <c r="G10" s="54">
        <f t="shared" si="3"/>
        <v>548598.511706124</v>
      </c>
      <c r="H10" s="54">
        <f t="shared" si="4"/>
        <v>28301.8867924528</v>
      </c>
      <c r="I10" s="54">
        <f t="shared" si="5"/>
        <v>6603.77358490566</v>
      </c>
      <c r="J10" s="195">
        <v>0</v>
      </c>
      <c r="K10" s="150">
        <f>'税金参数（新）'!R8</f>
        <v>72988.7520033645</v>
      </c>
      <c r="L10" s="196">
        <v>0</v>
      </c>
      <c r="M10" s="197">
        <f t="shared" si="6"/>
        <v>440704.099325401</v>
      </c>
      <c r="N10" s="198"/>
      <c r="P10" s="66">
        <f>(R10*9+R19*3)/12</f>
        <v>0.755545611111111</v>
      </c>
      <c r="Q10" s="34" t="s">
        <v>102</v>
      </c>
      <c r="R10" s="67">
        <f>X9*P8</f>
        <v>0.746062222222222</v>
      </c>
      <c r="S10" s="68"/>
      <c r="T10" s="68"/>
      <c r="U10" s="68"/>
      <c r="V10" s="69"/>
      <c r="W10" s="17"/>
      <c r="X10" s="17"/>
      <c r="Y10" s="17"/>
    </row>
    <row r="11" customHeight="1" spans="1:25">
      <c r="A11" s="39"/>
      <c r="B11" s="47">
        <v>6</v>
      </c>
      <c r="C11" s="51">
        <f t="shared" si="1"/>
        <v>0.97</v>
      </c>
      <c r="D11" s="52">
        <f t="shared" si="0"/>
        <v>847362.704868333</v>
      </c>
      <c r="E11" s="53">
        <f t="shared" si="7"/>
        <v>782963.13929834</v>
      </c>
      <c r="F11" s="53">
        <f t="shared" si="8"/>
        <v>64399.5655699933</v>
      </c>
      <c r="G11" s="54">
        <f t="shared" si="3"/>
        <v>546345.540405483</v>
      </c>
      <c r="H11" s="54">
        <f t="shared" si="4"/>
        <v>28301.8867924528</v>
      </c>
      <c r="I11" s="54">
        <f t="shared" si="5"/>
        <v>6603.77358490566</v>
      </c>
      <c r="J11" s="195">
        <v>0</v>
      </c>
      <c r="K11" s="150">
        <f>'税金参数（新）'!R9</f>
        <v>72679.886492057</v>
      </c>
      <c r="L11" s="196">
        <v>0</v>
      </c>
      <c r="M11" s="197">
        <f t="shared" si="6"/>
        <v>438759.993536067</v>
      </c>
      <c r="N11" s="198"/>
      <c r="P11" s="70" t="s">
        <v>103</v>
      </c>
      <c r="Q11" s="17"/>
      <c r="R11" s="17"/>
      <c r="S11" s="17"/>
      <c r="T11" s="17"/>
      <c r="U11" s="17"/>
      <c r="V11" s="17"/>
      <c r="W11" s="17"/>
      <c r="X11" s="17"/>
      <c r="Y11" s="17"/>
    </row>
    <row r="12" customHeight="1" spans="1:25">
      <c r="A12" s="39"/>
      <c r="B12" s="47">
        <v>7</v>
      </c>
      <c r="C12" s="51">
        <f t="shared" si="1"/>
        <v>0.966</v>
      </c>
      <c r="D12" s="52">
        <f t="shared" si="0"/>
        <v>843868.425673</v>
      </c>
      <c r="E12" s="53">
        <f t="shared" si="7"/>
        <v>779734.425321852</v>
      </c>
      <c r="F12" s="53">
        <f t="shared" si="8"/>
        <v>64134.000351148</v>
      </c>
      <c r="G12" s="54">
        <f t="shared" si="3"/>
        <v>544092.569104842</v>
      </c>
      <c r="H12" s="54">
        <f t="shared" si="4"/>
        <v>28301.8867924528</v>
      </c>
      <c r="I12" s="54">
        <f t="shared" si="5"/>
        <v>6603.77358490566</v>
      </c>
      <c r="J12" s="195">
        <v>0</v>
      </c>
      <c r="K12" s="150">
        <f>'税金参数（新）'!R10</f>
        <v>72371.0209807496</v>
      </c>
      <c r="L12" s="196">
        <v>0</v>
      </c>
      <c r="M12" s="197">
        <f t="shared" si="6"/>
        <v>436815.887746734</v>
      </c>
      <c r="N12" s="198"/>
      <c r="P12" s="143">
        <f>P14+P16</f>
        <v>873569.798833333</v>
      </c>
      <c r="Q12" s="58" t="s">
        <v>104</v>
      </c>
      <c r="R12" s="207"/>
      <c r="S12" s="207"/>
      <c r="T12" s="207"/>
      <c r="U12" s="207"/>
      <c r="V12" s="207"/>
      <c r="W12" s="207"/>
      <c r="X12" s="207"/>
      <c r="Y12" s="72"/>
    </row>
    <row r="13" customHeight="1" spans="1:25">
      <c r="A13" s="39"/>
      <c r="B13" s="47">
        <v>8</v>
      </c>
      <c r="C13" s="51">
        <f t="shared" si="1"/>
        <v>0.962</v>
      </c>
      <c r="D13" s="52">
        <f t="shared" si="0"/>
        <v>840374.146477667</v>
      </c>
      <c r="E13" s="53">
        <f t="shared" si="7"/>
        <v>776505.711345364</v>
      </c>
      <c r="F13" s="53">
        <f t="shared" si="8"/>
        <v>63868.4351323026</v>
      </c>
      <c r="G13" s="54">
        <f t="shared" si="3"/>
        <v>541839.5978042</v>
      </c>
      <c r="H13" s="54">
        <f t="shared" si="4"/>
        <v>28301.8867924528</v>
      </c>
      <c r="I13" s="54">
        <f t="shared" si="5"/>
        <v>6603.77358490566</v>
      </c>
      <c r="J13" s="195">
        <v>0</v>
      </c>
      <c r="K13" s="150">
        <f>'税金参数（新）'!R11</f>
        <v>72062.1554694422</v>
      </c>
      <c r="L13" s="196">
        <v>0</v>
      </c>
      <c r="M13" s="197">
        <f t="shared" si="6"/>
        <v>434871.7819574</v>
      </c>
      <c r="N13" s="198"/>
      <c r="P13" s="70" t="s">
        <v>105</v>
      </c>
      <c r="Q13" s="208" t="s">
        <v>77</v>
      </c>
      <c r="R13" s="70" t="s">
        <v>78</v>
      </c>
      <c r="S13" s="70" t="s">
        <v>79</v>
      </c>
      <c r="T13" s="70" t="s">
        <v>80</v>
      </c>
      <c r="U13" s="70" t="s">
        <v>81</v>
      </c>
      <c r="V13" s="70" t="s">
        <v>82</v>
      </c>
      <c r="W13" s="70" t="s">
        <v>83</v>
      </c>
      <c r="X13" s="70" t="s">
        <v>84</v>
      </c>
      <c r="Y13" s="70" t="s">
        <v>85</v>
      </c>
    </row>
    <row r="14" customHeight="1" spans="1:25">
      <c r="A14" s="39"/>
      <c r="B14" s="47">
        <v>9</v>
      </c>
      <c r="C14" s="51">
        <f t="shared" si="1"/>
        <v>0.958</v>
      </c>
      <c r="D14" s="52">
        <f t="shared" si="0"/>
        <v>836879.867282333</v>
      </c>
      <c r="E14" s="53">
        <f t="shared" si="7"/>
        <v>773276.997368876</v>
      </c>
      <c r="F14" s="53">
        <f t="shared" si="8"/>
        <v>63602.8699134573</v>
      </c>
      <c r="G14" s="54">
        <f t="shared" si="3"/>
        <v>539586.626503559</v>
      </c>
      <c r="H14" s="54">
        <f t="shared" si="4"/>
        <v>28301.8867924528</v>
      </c>
      <c r="I14" s="54">
        <f t="shared" si="5"/>
        <v>6603.77358490566</v>
      </c>
      <c r="J14" s="195">
        <v>0</v>
      </c>
      <c r="K14" s="150">
        <f>'税金参数（新）'!R12</f>
        <v>71753.2899581347</v>
      </c>
      <c r="L14" s="196">
        <v>0</v>
      </c>
      <c r="M14" s="197">
        <f t="shared" si="6"/>
        <v>432927.676168066</v>
      </c>
      <c r="N14" s="198"/>
      <c r="P14" s="143">
        <f>Q24+Q25+Q26+Q27+Q28+Q29+Q33+Q34+Q35</f>
        <v>561949.852</v>
      </c>
      <c r="Q14" s="209"/>
      <c r="R14" s="210">
        <f>R5</f>
        <v>0.93573</v>
      </c>
      <c r="S14" s="210">
        <f>S5</f>
        <v>0.93573</v>
      </c>
      <c r="T14" s="210">
        <f>T5</f>
        <v>0.594328</v>
      </c>
      <c r="U14" s="210" t="str">
        <f>U5</f>
        <v>忽略</v>
      </c>
      <c r="V14" s="70">
        <f>光伏发电衰减表min!P12</f>
        <v>0</v>
      </c>
      <c r="W14" s="70">
        <f>光伏发电衰减表min!Q12</f>
        <v>0</v>
      </c>
      <c r="X14" s="70">
        <f>光伏发电衰减表min!R12</f>
        <v>0</v>
      </c>
      <c r="Y14" s="70">
        <f>光伏发电衰减表min!S12</f>
        <v>0</v>
      </c>
    </row>
    <row r="15" customHeight="1" spans="1:25">
      <c r="A15" s="39"/>
      <c r="B15" s="47">
        <v>10</v>
      </c>
      <c r="C15" s="51">
        <f t="shared" si="1"/>
        <v>0.954</v>
      </c>
      <c r="D15" s="52">
        <f t="shared" si="0"/>
        <v>833385.588087</v>
      </c>
      <c r="E15" s="53">
        <f t="shared" si="7"/>
        <v>770048.283392388</v>
      </c>
      <c r="F15" s="53">
        <f t="shared" si="8"/>
        <v>63337.304694612</v>
      </c>
      <c r="G15" s="54">
        <f t="shared" si="3"/>
        <v>537333.655202918</v>
      </c>
      <c r="H15" s="54">
        <f t="shared" si="4"/>
        <v>28301.8867924528</v>
      </c>
      <c r="I15" s="54">
        <f t="shared" si="5"/>
        <v>6603.77358490566</v>
      </c>
      <c r="J15" s="195">
        <v>0</v>
      </c>
      <c r="K15" s="150">
        <f>'税金参数（新）'!R13</f>
        <v>71444.4244468272</v>
      </c>
      <c r="L15" s="196">
        <v>0</v>
      </c>
      <c r="M15" s="197">
        <f t="shared" si="6"/>
        <v>430983.570378732</v>
      </c>
      <c r="N15" s="198"/>
      <c r="P15" s="70" t="s">
        <v>106</v>
      </c>
      <c r="Q15" s="211" t="s">
        <v>97</v>
      </c>
      <c r="R15" s="63" t="s">
        <v>78</v>
      </c>
      <c r="S15" s="63" t="s">
        <v>79</v>
      </c>
      <c r="T15" s="63" t="s">
        <v>80</v>
      </c>
      <c r="U15" s="63" t="s">
        <v>81</v>
      </c>
      <c r="V15" s="75"/>
      <c r="W15" s="39"/>
      <c r="X15" s="39"/>
      <c r="Y15" s="39"/>
    </row>
    <row r="16" customHeight="1" spans="1:25">
      <c r="A16" s="39"/>
      <c r="B16" s="47">
        <v>11</v>
      </c>
      <c r="C16" s="51">
        <f t="shared" si="1"/>
        <v>0.95</v>
      </c>
      <c r="D16" s="52">
        <f t="shared" si="0"/>
        <v>829891.308891667</v>
      </c>
      <c r="E16" s="53">
        <f t="shared" si="7"/>
        <v>766819.5694159</v>
      </c>
      <c r="F16" s="53">
        <f t="shared" si="8"/>
        <v>63071.7394757666</v>
      </c>
      <c r="G16" s="54">
        <f t="shared" si="3"/>
        <v>535080.683902277</v>
      </c>
      <c r="H16" s="54">
        <f t="shared" si="4"/>
        <v>28301.8867924528</v>
      </c>
      <c r="I16" s="54">
        <f t="shared" si="5"/>
        <v>6603.77358490566</v>
      </c>
      <c r="J16" s="195">
        <v>0</v>
      </c>
      <c r="K16" s="150">
        <f>'税金参数（新）'!R14</f>
        <v>71135.5589355198</v>
      </c>
      <c r="L16" s="196">
        <v>0</v>
      </c>
      <c r="M16" s="197">
        <f t="shared" si="6"/>
        <v>429039.464589399</v>
      </c>
      <c r="N16" s="198"/>
      <c r="P16" s="143">
        <f>Q30+Q31+Q32</f>
        <v>311619.946833333</v>
      </c>
      <c r="Q16" s="212"/>
      <c r="R16" s="64">
        <f>R14+V14+Y14</f>
        <v>0.93573</v>
      </c>
      <c r="S16" s="64">
        <f>S14+W14+Y14</f>
        <v>0.93573</v>
      </c>
      <c r="T16" s="64">
        <f>T14+X14+Y14</f>
        <v>0.594328</v>
      </c>
      <c r="U16" s="64" t="s">
        <v>96</v>
      </c>
      <c r="V16" s="77"/>
      <c r="W16" s="39"/>
      <c r="X16" s="39"/>
      <c r="Y16" s="39"/>
    </row>
    <row r="17" customHeight="1" spans="1:25">
      <c r="A17" s="39"/>
      <c r="B17" s="47">
        <v>12</v>
      </c>
      <c r="C17" s="51">
        <f t="shared" si="1"/>
        <v>0.946</v>
      </c>
      <c r="D17" s="52">
        <f t="shared" si="0"/>
        <v>826397.029696333</v>
      </c>
      <c r="E17" s="53">
        <f t="shared" si="7"/>
        <v>763590.855439412</v>
      </c>
      <c r="F17" s="53">
        <f t="shared" si="8"/>
        <v>62806.1742569213</v>
      </c>
      <c r="G17" s="54">
        <f t="shared" si="3"/>
        <v>532827.712601636</v>
      </c>
      <c r="H17" s="54">
        <f t="shared" si="4"/>
        <v>28301.8867924528</v>
      </c>
      <c r="I17" s="54">
        <f t="shared" si="5"/>
        <v>6603.77358490566</v>
      </c>
      <c r="J17" s="195">
        <v>0</v>
      </c>
      <c r="K17" s="150">
        <f>'税金参数（新）'!R15</f>
        <v>70826.6934242123</v>
      </c>
      <c r="L17" s="196">
        <v>0</v>
      </c>
      <c r="M17" s="197">
        <f t="shared" si="6"/>
        <v>427095.358800065</v>
      </c>
      <c r="N17" s="198"/>
      <c r="P17" s="39"/>
      <c r="Q17" s="33"/>
      <c r="R17" s="33" t="s">
        <v>99</v>
      </c>
      <c r="S17" s="33" t="s">
        <v>99</v>
      </c>
      <c r="T17" s="33" t="s">
        <v>99</v>
      </c>
      <c r="U17" s="33" t="s">
        <v>99</v>
      </c>
      <c r="V17" s="33" t="s">
        <v>100</v>
      </c>
      <c r="W17" s="39"/>
      <c r="X17" s="39"/>
      <c r="Y17" s="39"/>
    </row>
    <row r="18" customHeight="1" spans="1:28">
      <c r="A18" s="39"/>
      <c r="B18" s="47">
        <v>13</v>
      </c>
      <c r="C18" s="51">
        <f t="shared" si="1"/>
        <v>0.942</v>
      </c>
      <c r="D18" s="52">
        <f t="shared" si="0"/>
        <v>822902.750501</v>
      </c>
      <c r="E18" s="53">
        <f t="shared" si="7"/>
        <v>760362.141462924</v>
      </c>
      <c r="F18" s="53">
        <f t="shared" si="8"/>
        <v>62540.609038076</v>
      </c>
      <c r="G18" s="54">
        <f t="shared" si="3"/>
        <v>530574.741300995</v>
      </c>
      <c r="H18" s="54">
        <f t="shared" si="4"/>
        <v>28301.8867924528</v>
      </c>
      <c r="I18" s="54">
        <f t="shared" si="5"/>
        <v>6603.77358490566</v>
      </c>
      <c r="J18" s="195">
        <v>0</v>
      </c>
      <c r="K18" s="150">
        <f>'税金参数（新）'!R16</f>
        <v>70517.8279129049</v>
      </c>
      <c r="L18" s="196">
        <v>0</v>
      </c>
      <c r="M18" s="197">
        <f t="shared" si="6"/>
        <v>425151.253010731</v>
      </c>
      <c r="N18" s="198"/>
      <c r="P18" s="39"/>
      <c r="Q18" s="33"/>
      <c r="R18" s="206">
        <v>3</v>
      </c>
      <c r="S18" s="206">
        <v>2</v>
      </c>
      <c r="T18" s="206">
        <v>4</v>
      </c>
      <c r="U18" s="206">
        <v>0</v>
      </c>
      <c r="V18" s="33">
        <v>9</v>
      </c>
      <c r="W18" s="33" t="s">
        <v>102</v>
      </c>
      <c r="X18" s="67">
        <f>(R16*R18+S16*S18+T16*T18)/V18</f>
        <v>0.783995777777778</v>
      </c>
      <c r="Y18" s="68"/>
      <c r="Z18" s="68"/>
      <c r="AA18" s="68"/>
      <c r="AB18" s="69"/>
    </row>
    <row r="19" customHeight="1" spans="1:25">
      <c r="A19" s="39"/>
      <c r="B19" s="47">
        <v>14</v>
      </c>
      <c r="C19" s="51">
        <f t="shared" si="1"/>
        <v>0.938</v>
      </c>
      <c r="D19" s="52">
        <f t="shared" si="0"/>
        <v>819408.471305667</v>
      </c>
      <c r="E19" s="53">
        <f t="shared" si="7"/>
        <v>757133.427486436</v>
      </c>
      <c r="F19" s="53">
        <f t="shared" si="8"/>
        <v>62275.0438192306</v>
      </c>
      <c r="G19" s="54">
        <f t="shared" si="3"/>
        <v>528321.770000354</v>
      </c>
      <c r="H19" s="54">
        <f t="shared" si="4"/>
        <v>28301.8867924528</v>
      </c>
      <c r="I19" s="54">
        <f t="shared" si="5"/>
        <v>6603.77358490566</v>
      </c>
      <c r="J19" s="195">
        <v>0</v>
      </c>
      <c r="K19" s="150">
        <f>'税金参数（新）'!R17</f>
        <v>70208.9624015974</v>
      </c>
      <c r="L19" s="196">
        <v>0</v>
      </c>
      <c r="M19" s="197">
        <f t="shared" si="6"/>
        <v>423207.147221398</v>
      </c>
      <c r="N19" s="198"/>
      <c r="P19" s="39"/>
      <c r="Q19" s="33" t="s">
        <v>102</v>
      </c>
      <c r="R19" s="67">
        <f>X18*P8</f>
        <v>0.783995777777778</v>
      </c>
      <c r="S19" s="68"/>
      <c r="T19" s="68"/>
      <c r="U19" s="68"/>
      <c r="V19" s="69"/>
      <c r="W19" s="39"/>
      <c r="X19" s="39"/>
      <c r="Y19" s="39"/>
    </row>
    <row r="20" customHeight="1" spans="1:25">
      <c r="A20" s="39"/>
      <c r="B20" s="47">
        <v>15</v>
      </c>
      <c r="C20" s="51">
        <f t="shared" si="1"/>
        <v>0.934</v>
      </c>
      <c r="D20" s="52">
        <f t="shared" si="0"/>
        <v>815914.192110333</v>
      </c>
      <c r="E20" s="53">
        <f t="shared" si="7"/>
        <v>753904.713509948</v>
      </c>
      <c r="F20" s="53">
        <f t="shared" si="8"/>
        <v>62009.4786003853</v>
      </c>
      <c r="G20" s="54">
        <f t="shared" si="3"/>
        <v>526068.798699712</v>
      </c>
      <c r="H20" s="54">
        <f t="shared" si="4"/>
        <v>28301.8867924528</v>
      </c>
      <c r="I20" s="54">
        <f t="shared" si="5"/>
        <v>6603.77358490566</v>
      </c>
      <c r="J20" s="195">
        <v>0</v>
      </c>
      <c r="K20" s="150">
        <f>'税金参数（新）'!R18</f>
        <v>69900.09689029</v>
      </c>
      <c r="L20" s="196">
        <v>0</v>
      </c>
      <c r="M20" s="197">
        <f t="shared" si="6"/>
        <v>421263.041432064</v>
      </c>
      <c r="N20" s="198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customHeight="1" spans="1:25">
      <c r="A21" s="39"/>
      <c r="B21" s="47">
        <v>16</v>
      </c>
      <c r="C21" s="51">
        <f t="shared" si="1"/>
        <v>0.93</v>
      </c>
      <c r="D21" s="52">
        <f t="shared" si="0"/>
        <v>812419.912915</v>
      </c>
      <c r="E21" s="53">
        <f t="shared" si="7"/>
        <v>750675.99953346</v>
      </c>
      <c r="F21" s="53">
        <f t="shared" si="8"/>
        <v>61743.91338154</v>
      </c>
      <c r="G21" s="54">
        <f t="shared" si="3"/>
        <v>523815.827399071</v>
      </c>
      <c r="H21" s="54">
        <f t="shared" si="4"/>
        <v>28301.8867924528</v>
      </c>
      <c r="I21" s="54">
        <f t="shared" si="5"/>
        <v>6603.77358490566</v>
      </c>
      <c r="J21" s="195">
        <v>0</v>
      </c>
      <c r="K21" s="150">
        <f>'税金参数（新）'!R19</f>
        <v>69591.2313789825</v>
      </c>
      <c r="L21" s="196">
        <v>0</v>
      </c>
      <c r="M21" s="197">
        <f t="shared" si="6"/>
        <v>419318.93564273</v>
      </c>
      <c r="N21" s="198"/>
      <c r="S21" s="39"/>
      <c r="U21" s="39"/>
      <c r="V21" s="39"/>
      <c r="W21" s="39"/>
      <c r="X21" s="39"/>
      <c r="Y21" s="39"/>
    </row>
    <row r="22" customHeight="1" spans="1:25">
      <c r="A22" s="39"/>
      <c r="B22" s="47">
        <v>17</v>
      </c>
      <c r="C22" s="51">
        <f t="shared" si="1"/>
        <v>0.926</v>
      </c>
      <c r="D22" s="52">
        <f t="shared" si="0"/>
        <v>808925.633719667</v>
      </c>
      <c r="E22" s="53">
        <f t="shared" si="7"/>
        <v>747447.285556972</v>
      </c>
      <c r="F22" s="53">
        <f t="shared" si="8"/>
        <v>61478.3481626946</v>
      </c>
      <c r="G22" s="54">
        <f t="shared" si="3"/>
        <v>521562.85609843</v>
      </c>
      <c r="H22" s="54">
        <f t="shared" si="4"/>
        <v>28301.8867924528</v>
      </c>
      <c r="I22" s="54">
        <f t="shared" si="5"/>
        <v>6603.77358490566</v>
      </c>
      <c r="J22" s="195">
        <v>0</v>
      </c>
      <c r="K22" s="150">
        <f>'税金参数（新）'!R20</f>
        <v>69282.3658676751</v>
      </c>
      <c r="L22" s="196">
        <v>0</v>
      </c>
      <c r="M22" s="197">
        <f t="shared" si="6"/>
        <v>417374.829853396</v>
      </c>
      <c r="N22" s="198"/>
      <c r="P22" s="146" t="s">
        <v>31</v>
      </c>
      <c r="Q22" s="146"/>
      <c r="S22" s="213" t="s">
        <v>107</v>
      </c>
      <c r="T22" s="214"/>
      <c r="U22" s="214"/>
      <c r="V22" s="215"/>
      <c r="W22" s="39"/>
      <c r="X22" s="39"/>
      <c r="Y22" s="39"/>
    </row>
    <row r="23" customHeight="1" spans="1:25">
      <c r="A23" s="39"/>
      <c r="B23" s="47">
        <v>18</v>
      </c>
      <c r="C23" s="51">
        <f t="shared" si="1"/>
        <v>0.922</v>
      </c>
      <c r="D23" s="52">
        <f t="shared" si="0"/>
        <v>805431.354524333</v>
      </c>
      <c r="E23" s="53">
        <f t="shared" si="7"/>
        <v>744218.571580484</v>
      </c>
      <c r="F23" s="53">
        <f t="shared" si="8"/>
        <v>61212.7829438493</v>
      </c>
      <c r="G23" s="54">
        <f t="shared" si="3"/>
        <v>519309.884797789</v>
      </c>
      <c r="H23" s="54">
        <f t="shared" si="4"/>
        <v>28301.8867924528</v>
      </c>
      <c r="I23" s="54">
        <f t="shared" si="5"/>
        <v>6603.77358490566</v>
      </c>
      <c r="J23" s="195">
        <v>0</v>
      </c>
      <c r="K23" s="150">
        <f>'税金参数（新）'!R21</f>
        <v>68973.5003563676</v>
      </c>
      <c r="L23" s="196">
        <v>0</v>
      </c>
      <c r="M23" s="197">
        <f t="shared" si="6"/>
        <v>415430.724064063</v>
      </c>
      <c r="N23" s="198"/>
      <c r="P23" s="33" t="s">
        <v>32</v>
      </c>
      <c r="Q23" s="33" t="s">
        <v>108</v>
      </c>
      <c r="S23" s="79" t="s">
        <v>32</v>
      </c>
      <c r="T23" s="34"/>
      <c r="U23" s="79" t="s">
        <v>108</v>
      </c>
      <c r="V23" s="34"/>
      <c r="W23" s="39"/>
      <c r="X23" s="39"/>
      <c r="Y23" s="39"/>
    </row>
    <row r="24" customHeight="1" spans="1:25">
      <c r="A24" s="39"/>
      <c r="B24" s="47">
        <v>19</v>
      </c>
      <c r="C24" s="51">
        <f t="shared" si="1"/>
        <v>0.918</v>
      </c>
      <c r="D24" s="52">
        <f t="shared" si="0"/>
        <v>801937.075329</v>
      </c>
      <c r="E24" s="53">
        <f t="shared" si="7"/>
        <v>740989.857603996</v>
      </c>
      <c r="F24" s="53">
        <f t="shared" si="8"/>
        <v>60947.217725004</v>
      </c>
      <c r="G24" s="54">
        <f t="shared" si="3"/>
        <v>517056.913497148</v>
      </c>
      <c r="H24" s="54">
        <f t="shared" si="4"/>
        <v>28301.8867924528</v>
      </c>
      <c r="I24" s="54">
        <f t="shared" si="5"/>
        <v>6603.77358490566</v>
      </c>
      <c r="J24" s="195">
        <v>0</v>
      </c>
      <c r="K24" s="150">
        <f>'税金参数（新）'!R22</f>
        <v>68664.6348450602</v>
      </c>
      <c r="L24" s="196">
        <v>0</v>
      </c>
      <c r="M24" s="197">
        <f t="shared" si="6"/>
        <v>413486.618274729</v>
      </c>
      <c r="N24" s="198"/>
      <c r="P24" s="33" t="s">
        <v>39</v>
      </c>
      <c r="Q24" s="81">
        <f>基础数据!L12</f>
        <v>39210.319</v>
      </c>
      <c r="S24" s="33" t="s">
        <v>39</v>
      </c>
      <c r="T24" s="33"/>
      <c r="U24" s="81">
        <f t="shared" ref="U24:U35" si="9">Q24*0.99</f>
        <v>38818.21581</v>
      </c>
      <c r="V24" s="81"/>
      <c r="W24" s="39"/>
      <c r="X24" s="39"/>
      <c r="Y24" s="39"/>
    </row>
    <row r="25" customHeight="1" spans="1:25">
      <c r="A25" s="39"/>
      <c r="B25" s="47">
        <v>20</v>
      </c>
      <c r="C25" s="51">
        <f t="shared" si="1"/>
        <v>0.914</v>
      </c>
      <c r="D25" s="52">
        <f t="shared" si="0"/>
        <v>798442.796133667</v>
      </c>
      <c r="E25" s="53">
        <f t="shared" si="7"/>
        <v>737761.143627508</v>
      </c>
      <c r="F25" s="53">
        <f t="shared" si="8"/>
        <v>60681.6525061586</v>
      </c>
      <c r="G25" s="54">
        <f t="shared" si="3"/>
        <v>514803.942196506</v>
      </c>
      <c r="H25" s="54">
        <f t="shared" si="4"/>
        <v>28301.8867924528</v>
      </c>
      <c r="I25" s="54">
        <f t="shared" si="5"/>
        <v>6603.77358490566</v>
      </c>
      <c r="J25" s="195">
        <v>0</v>
      </c>
      <c r="K25" s="150">
        <f>'税金参数（新）'!R23</f>
        <v>68355.7693337527</v>
      </c>
      <c r="L25" s="196">
        <v>0</v>
      </c>
      <c r="M25" s="197">
        <f t="shared" si="6"/>
        <v>411542.512485395</v>
      </c>
      <c r="N25" s="198"/>
      <c r="P25" s="33" t="s">
        <v>40</v>
      </c>
      <c r="Q25" s="81">
        <f>基础数据!L13</f>
        <v>49832.8833333333</v>
      </c>
      <c r="S25" s="33" t="s">
        <v>40</v>
      </c>
      <c r="T25" s="33"/>
      <c r="U25" s="81">
        <f t="shared" si="9"/>
        <v>49334.5545</v>
      </c>
      <c r="V25" s="81"/>
      <c r="W25" s="39"/>
      <c r="X25" s="39"/>
      <c r="Y25" s="39"/>
    </row>
    <row r="26" customHeight="1" spans="1:25">
      <c r="A26" s="39"/>
      <c r="B26" s="47">
        <v>21</v>
      </c>
      <c r="C26" s="51">
        <f t="shared" si="1"/>
        <v>0.91</v>
      </c>
      <c r="D26" s="52">
        <f t="shared" si="0"/>
        <v>794948.516938333</v>
      </c>
      <c r="E26" s="53">
        <f t="shared" si="7"/>
        <v>734532.42965102</v>
      </c>
      <c r="F26" s="53">
        <f t="shared" si="8"/>
        <v>60416.0872873133</v>
      </c>
      <c r="G26" s="54">
        <f t="shared" si="3"/>
        <v>512550.970895865</v>
      </c>
      <c r="H26" s="54">
        <f t="shared" si="4"/>
        <v>28301.8867924528</v>
      </c>
      <c r="I26" s="54">
        <f t="shared" si="5"/>
        <v>6603.77358490566</v>
      </c>
      <c r="J26" s="195">
        <v>0</v>
      </c>
      <c r="K26" s="150">
        <f>'税金参数（新）'!R24</f>
        <v>68046.9038224453</v>
      </c>
      <c r="L26" s="196">
        <v>0</v>
      </c>
      <c r="M26" s="197">
        <f t="shared" si="6"/>
        <v>409598.406696062</v>
      </c>
      <c r="N26" s="198"/>
      <c r="P26" s="33" t="s">
        <v>41</v>
      </c>
      <c r="Q26" s="81">
        <f>基础数据!L14</f>
        <v>74617.3668333333</v>
      </c>
      <c r="S26" s="33" t="s">
        <v>41</v>
      </c>
      <c r="T26" s="33"/>
      <c r="U26" s="81">
        <f t="shared" si="9"/>
        <v>73871.193165</v>
      </c>
      <c r="V26" s="81"/>
      <c r="W26" s="39"/>
      <c r="X26" s="39"/>
      <c r="Y26" s="39"/>
    </row>
    <row r="27" customHeight="1" spans="1:25">
      <c r="A27" s="39"/>
      <c r="B27" s="47">
        <v>22</v>
      </c>
      <c r="C27" s="51">
        <f t="shared" si="1"/>
        <v>0.906</v>
      </c>
      <c r="D27" s="52">
        <f t="shared" si="0"/>
        <v>791454.237743</v>
      </c>
      <c r="E27" s="53">
        <f t="shared" si="7"/>
        <v>731303.715674532</v>
      </c>
      <c r="F27" s="53">
        <f t="shared" si="8"/>
        <v>60150.522068468</v>
      </c>
      <c r="G27" s="54">
        <f t="shared" si="3"/>
        <v>510297.999595224</v>
      </c>
      <c r="H27" s="54">
        <f t="shared" si="4"/>
        <v>28301.8867924528</v>
      </c>
      <c r="I27" s="54">
        <f t="shared" si="5"/>
        <v>6603.77358490566</v>
      </c>
      <c r="J27" s="195">
        <v>0</v>
      </c>
      <c r="K27" s="150">
        <f>'税金参数（新）'!R25</f>
        <v>67738.0383111378</v>
      </c>
      <c r="L27" s="196">
        <v>0</v>
      </c>
      <c r="M27" s="197">
        <f t="shared" si="6"/>
        <v>407654.300906728</v>
      </c>
      <c r="N27" s="198"/>
      <c r="P27" s="33" t="s">
        <v>42</v>
      </c>
      <c r="Q27" s="81">
        <f>基础数据!L15</f>
        <v>88235.335</v>
      </c>
      <c r="S27" s="33" t="s">
        <v>42</v>
      </c>
      <c r="T27" s="33"/>
      <c r="U27" s="81">
        <f t="shared" si="9"/>
        <v>87352.98165</v>
      </c>
      <c r="V27" s="81"/>
      <c r="W27" s="39"/>
      <c r="X27" s="39"/>
      <c r="Y27" s="39"/>
    </row>
    <row r="28" customHeight="1" spans="1:25">
      <c r="A28" s="39"/>
      <c r="B28" s="47">
        <v>23</v>
      </c>
      <c r="C28" s="51">
        <f t="shared" si="1"/>
        <v>0.902</v>
      </c>
      <c r="D28" s="52">
        <f t="shared" si="0"/>
        <v>787959.958547667</v>
      </c>
      <c r="E28" s="53">
        <f t="shared" si="7"/>
        <v>728075.001698044</v>
      </c>
      <c r="F28" s="53">
        <f t="shared" si="8"/>
        <v>59884.9568496226</v>
      </c>
      <c r="G28" s="54">
        <f t="shared" si="3"/>
        <v>508045.028294583</v>
      </c>
      <c r="H28" s="54">
        <f t="shared" si="4"/>
        <v>28301.8867924528</v>
      </c>
      <c r="I28" s="54">
        <f t="shared" si="5"/>
        <v>6603.77358490566</v>
      </c>
      <c r="J28" s="195">
        <v>0</v>
      </c>
      <c r="K28" s="150">
        <f>'税金参数（新）'!R26</f>
        <v>67429.1727998304</v>
      </c>
      <c r="L28" s="196">
        <v>0</v>
      </c>
      <c r="M28" s="197">
        <f t="shared" si="6"/>
        <v>405710.195117394</v>
      </c>
      <c r="N28" s="198"/>
      <c r="P28" s="33" t="s">
        <v>43</v>
      </c>
      <c r="Q28" s="81">
        <f>基础数据!L16</f>
        <v>94681.4555</v>
      </c>
      <c r="S28" s="33" t="s">
        <v>43</v>
      </c>
      <c r="T28" s="33"/>
      <c r="U28" s="81">
        <f t="shared" si="9"/>
        <v>93734.640945</v>
      </c>
      <c r="V28" s="81"/>
      <c r="W28" s="39"/>
      <c r="X28" s="39"/>
      <c r="Y28" s="39"/>
    </row>
    <row r="29" customHeight="1" spans="1:25">
      <c r="A29" s="39"/>
      <c r="B29" s="47">
        <v>24</v>
      </c>
      <c r="C29" s="51">
        <f t="shared" si="1"/>
        <v>0.898</v>
      </c>
      <c r="D29" s="52">
        <f t="shared" si="0"/>
        <v>784465.679352333</v>
      </c>
      <c r="E29" s="53">
        <f t="shared" si="7"/>
        <v>724846.287721556</v>
      </c>
      <c r="F29" s="53">
        <f t="shared" si="8"/>
        <v>59619.3916307773</v>
      </c>
      <c r="G29" s="54">
        <f t="shared" si="3"/>
        <v>505792.056993942</v>
      </c>
      <c r="H29" s="54">
        <f t="shared" si="4"/>
        <v>28301.8867924528</v>
      </c>
      <c r="I29" s="54">
        <f t="shared" si="5"/>
        <v>6603.77358490566</v>
      </c>
      <c r="J29" s="195">
        <v>0</v>
      </c>
      <c r="K29" s="150">
        <f>'税金参数（新）'!R27</f>
        <v>67120.3072885229</v>
      </c>
      <c r="L29" s="196">
        <v>0</v>
      </c>
      <c r="M29" s="197">
        <f t="shared" si="6"/>
        <v>403766.08932806</v>
      </c>
      <c r="N29" s="198"/>
      <c r="P29" s="33" t="s">
        <v>44</v>
      </c>
      <c r="Q29" s="81">
        <f>基础数据!L17</f>
        <v>86994.255</v>
      </c>
      <c r="S29" s="33" t="s">
        <v>44</v>
      </c>
      <c r="T29" s="33"/>
      <c r="U29" s="81">
        <f t="shared" si="9"/>
        <v>86124.31245</v>
      </c>
      <c r="V29" s="81"/>
      <c r="W29" s="39"/>
      <c r="X29" s="39"/>
      <c r="Y29" s="39"/>
    </row>
    <row r="30" customHeight="1" spans="1:25">
      <c r="A30" s="39"/>
      <c r="B30" s="47">
        <v>25</v>
      </c>
      <c r="C30" s="51">
        <f t="shared" si="1"/>
        <v>0.894</v>
      </c>
      <c r="D30" s="52">
        <f t="shared" si="0"/>
        <v>780971.400157</v>
      </c>
      <c r="E30" s="53">
        <f t="shared" si="7"/>
        <v>721617.573745068</v>
      </c>
      <c r="F30" s="53">
        <f t="shared" si="8"/>
        <v>59353.826411932</v>
      </c>
      <c r="G30" s="54">
        <f t="shared" si="3"/>
        <v>503539.085693301</v>
      </c>
      <c r="H30" s="54">
        <f t="shared" si="4"/>
        <v>28301.8867924528</v>
      </c>
      <c r="I30" s="54">
        <f t="shared" si="5"/>
        <v>6603.77358490566</v>
      </c>
      <c r="J30" s="195">
        <v>0</v>
      </c>
      <c r="K30" s="150">
        <f>'税金参数（新）'!R28</f>
        <v>66811.4417772155</v>
      </c>
      <c r="L30" s="196">
        <v>0</v>
      </c>
      <c r="M30" s="197">
        <f t="shared" si="6"/>
        <v>401821.983538727</v>
      </c>
      <c r="N30" s="198"/>
      <c r="P30" s="33" t="s">
        <v>45</v>
      </c>
      <c r="Q30" s="81">
        <f>基础数据!L18</f>
        <v>118738.767833333</v>
      </c>
      <c r="S30" s="33" t="s">
        <v>45</v>
      </c>
      <c r="T30" s="33"/>
      <c r="U30" s="81">
        <f t="shared" si="9"/>
        <v>117551.380155</v>
      </c>
      <c r="V30" s="81"/>
      <c r="W30" s="39"/>
      <c r="X30" s="39"/>
      <c r="Y30" s="39"/>
    </row>
    <row r="31" customHeight="1" spans="1:25">
      <c r="A31" s="39"/>
      <c r="B31" s="55" t="s">
        <v>52</v>
      </c>
      <c r="C31" s="55"/>
      <c r="D31" s="56">
        <f>SUM(D6:D30)</f>
        <v>20572568.762525</v>
      </c>
      <c r="E31" s="55">
        <f>SUM(E6:E30)</f>
        <v>19009053.5365731</v>
      </c>
      <c r="F31" s="55">
        <f>SUM(F6:F30)</f>
        <v>1563515.2259519</v>
      </c>
      <c r="G31" s="185">
        <f>SUM(G6:G30)</f>
        <v>13264368.5325249</v>
      </c>
      <c r="H31" s="137"/>
      <c r="I31" s="137"/>
      <c r="J31" s="201"/>
      <c r="K31" s="137"/>
      <c r="L31" s="202"/>
      <c r="M31" s="137">
        <f>SUM(M6:M30)</f>
        <v>10776920.8878542</v>
      </c>
      <c r="N31" s="202"/>
      <c r="P31" s="33" t="s">
        <v>46</v>
      </c>
      <c r="Q31" s="81">
        <f>基础数据!L19</f>
        <v>114431.509</v>
      </c>
      <c r="S31" s="33" t="s">
        <v>46</v>
      </c>
      <c r="T31" s="33"/>
      <c r="U31" s="81">
        <f t="shared" si="9"/>
        <v>113287.19391</v>
      </c>
      <c r="V31" s="81"/>
      <c r="W31" s="39"/>
      <c r="X31" s="39"/>
      <c r="Y31" s="39"/>
    </row>
    <row r="32" customHeight="1" spans="1:25">
      <c r="A32" s="39" t="s">
        <v>109</v>
      </c>
      <c r="B32" s="46"/>
      <c r="C32" s="46"/>
      <c r="D32" s="46"/>
      <c r="E32" s="186"/>
      <c r="F32" s="186"/>
      <c r="G32" s="186"/>
      <c r="H32" s="186"/>
      <c r="I32" s="186"/>
      <c r="J32" s="186"/>
      <c r="K32" s="46"/>
      <c r="L32" s="186"/>
      <c r="M32" s="186"/>
      <c r="N32" s="186"/>
      <c r="P32" s="33" t="s">
        <v>47</v>
      </c>
      <c r="Q32" s="81">
        <f>基础数据!L20</f>
        <v>78449.67</v>
      </c>
      <c r="S32" s="33" t="s">
        <v>47</v>
      </c>
      <c r="T32" s="33"/>
      <c r="U32" s="81">
        <f t="shared" si="9"/>
        <v>77665.1733</v>
      </c>
      <c r="V32" s="81"/>
      <c r="W32" s="39"/>
      <c r="X32" s="39"/>
      <c r="Y32" s="39"/>
    </row>
    <row r="33" customHeight="1" spans="4:25">
      <c r="D33" s="57"/>
      <c r="P33" s="33" t="s">
        <v>48</v>
      </c>
      <c r="Q33" s="81">
        <f>基础数据!L21</f>
        <v>50754.0318333333</v>
      </c>
      <c r="S33" s="33" t="s">
        <v>48</v>
      </c>
      <c r="T33" s="33"/>
      <c r="U33" s="81">
        <f t="shared" si="9"/>
        <v>50246.491515</v>
      </c>
      <c r="V33" s="81"/>
      <c r="W33" s="39"/>
      <c r="X33" s="39"/>
      <c r="Y33" s="39"/>
    </row>
    <row r="34" customHeight="1" spans="3:25">
      <c r="C34" s="33" t="s">
        <v>110</v>
      </c>
      <c r="D34" s="187">
        <f>基础数据!H7</f>
        <v>2000000</v>
      </c>
      <c r="E34" s="176"/>
      <c r="F34" s="176"/>
      <c r="P34" s="33" t="s">
        <v>49</v>
      </c>
      <c r="Q34" s="81">
        <f>基础数据!L22</f>
        <v>43112.045</v>
      </c>
      <c r="S34" s="33" t="s">
        <v>49</v>
      </c>
      <c r="T34" s="33"/>
      <c r="U34" s="81">
        <f t="shared" si="9"/>
        <v>42680.92455</v>
      </c>
      <c r="V34" s="81"/>
      <c r="W34" s="39"/>
      <c r="X34" s="39"/>
      <c r="Y34" s="39"/>
    </row>
    <row r="35" customHeight="1" spans="3:25">
      <c r="C35" s="33" t="s">
        <v>111</v>
      </c>
      <c r="D35" s="187">
        <f>基础数据!J29</f>
        <v>30000</v>
      </c>
      <c r="E35" s="58" t="s">
        <v>112</v>
      </c>
      <c r="F35" s="188">
        <f>基础数据!J27</f>
        <v>7000</v>
      </c>
      <c r="P35" s="33" t="s">
        <v>50</v>
      </c>
      <c r="Q35" s="81">
        <f>基础数据!L23</f>
        <v>34512.1605</v>
      </c>
      <c r="S35" s="33" t="s">
        <v>50</v>
      </c>
      <c r="T35" s="33"/>
      <c r="U35" s="81">
        <f t="shared" si="9"/>
        <v>34167.038895</v>
      </c>
      <c r="V35" s="81"/>
      <c r="W35" s="39"/>
      <c r="X35" s="39"/>
      <c r="Y35" s="39"/>
    </row>
    <row r="36" customHeight="1" spans="3:22">
      <c r="C36" s="189"/>
      <c r="D36" s="190"/>
      <c r="E36" s="189"/>
      <c r="F36" s="159"/>
      <c r="P36" s="33" t="s">
        <v>52</v>
      </c>
      <c r="Q36" s="81">
        <f>SUM(Q24:Q35)</f>
        <v>873569.798833333</v>
      </c>
      <c r="S36" s="122" t="s">
        <v>52</v>
      </c>
      <c r="T36" s="122"/>
      <c r="U36" s="216">
        <f>SUM(U24:V35)</f>
        <v>864834.100845</v>
      </c>
      <c r="V36" s="216"/>
    </row>
    <row r="37" customHeight="1" spans="3:6">
      <c r="C37" s="33" t="s">
        <v>113</v>
      </c>
      <c r="D37" s="187">
        <f>D34/1.09</f>
        <v>1834862.3853211</v>
      </c>
      <c r="E37"/>
      <c r="F37"/>
    </row>
    <row r="38" customHeight="1" spans="4:6">
      <c r="D38"/>
      <c r="E38"/>
      <c r="F38"/>
    </row>
    <row r="39" ht="19.5" customHeight="1" spans="3:6">
      <c r="C39" s="164" t="s">
        <v>114</v>
      </c>
      <c r="F39" s="17"/>
    </row>
    <row r="51" customHeight="1" spans="17:20">
      <c r="Q51" s="41"/>
      <c r="R51" s="41"/>
      <c r="S51" s="41"/>
      <c r="T51" s="41"/>
    </row>
    <row r="54" customHeight="1" spans="19:19">
      <c r="S54" s="19"/>
    </row>
  </sheetData>
  <mergeCells count="45">
    <mergeCell ref="Q3:V3"/>
    <mergeCell ref="B4:D4"/>
    <mergeCell ref="X9:AB9"/>
    <mergeCell ref="R10:V10"/>
    <mergeCell ref="Q12:Y12"/>
    <mergeCell ref="X18:AB18"/>
    <mergeCell ref="R19:V19"/>
    <mergeCell ref="P22:Q22"/>
    <mergeCell ref="S22:V22"/>
    <mergeCell ref="S23:T23"/>
    <mergeCell ref="U23:V23"/>
    <mergeCell ref="S24:T24"/>
    <mergeCell ref="U24:V24"/>
    <mergeCell ref="S25:T25"/>
    <mergeCell ref="U25:V25"/>
    <mergeCell ref="S26:T26"/>
    <mergeCell ref="U26:V26"/>
    <mergeCell ref="S27:T27"/>
    <mergeCell ref="U27:V27"/>
    <mergeCell ref="S28:T28"/>
    <mergeCell ref="U28:V28"/>
    <mergeCell ref="S29:T29"/>
    <mergeCell ref="U29:V29"/>
    <mergeCell ref="S30:T30"/>
    <mergeCell ref="U30:V30"/>
    <mergeCell ref="B31:C31"/>
    <mergeCell ref="S31:T31"/>
    <mergeCell ref="U31:V31"/>
    <mergeCell ref="B32:D32"/>
    <mergeCell ref="S32:T32"/>
    <mergeCell ref="U32:V32"/>
    <mergeCell ref="S33:T33"/>
    <mergeCell ref="U33:V33"/>
    <mergeCell ref="S34:T34"/>
    <mergeCell ref="U34:V34"/>
    <mergeCell ref="S35:T35"/>
    <mergeCell ref="U35:V35"/>
    <mergeCell ref="S36:T36"/>
    <mergeCell ref="U36:V36"/>
    <mergeCell ref="Q51:T51"/>
    <mergeCell ref="Q4:Q5"/>
    <mergeCell ref="Q6:Q7"/>
    <mergeCell ref="Q13:Q14"/>
    <mergeCell ref="Q15:Q16"/>
    <mergeCell ref="V6:V7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48"/>
  <sheetViews>
    <sheetView zoomScale="85" zoomScaleNormal="85" topLeftCell="C1" workbookViewId="0">
      <selection activeCell="P36" sqref="P36"/>
    </sheetView>
  </sheetViews>
  <sheetFormatPr defaultColWidth="13.625" defaultRowHeight="20.1" customHeight="1"/>
  <cols>
    <col min="1" max="1" width="13.625" style="144"/>
    <col min="2" max="2" width="15.5" style="144" customWidth="1"/>
    <col min="3" max="3" width="19.625" style="144" customWidth="1"/>
    <col min="4" max="4" width="17.5" style="144" customWidth="1"/>
    <col min="5" max="5" width="18.25" style="145" customWidth="1"/>
    <col min="6" max="6" width="19.5" style="144" customWidth="1"/>
    <col min="7" max="7" width="16.375" style="144" customWidth="1"/>
    <col min="8" max="8" width="17" style="144" customWidth="1"/>
    <col min="9" max="9" width="16" style="144" customWidth="1"/>
    <col min="10" max="11" width="15.25" style="144" customWidth="1"/>
    <col min="12" max="14" width="13.625" style="144"/>
    <col min="15" max="15" width="18.875" style="144" customWidth="1"/>
    <col min="16" max="16" width="16.375" style="144" customWidth="1"/>
    <col min="17" max="17" width="13.625" style="144"/>
    <col min="18" max="18" width="18.875" style="144" customWidth="1"/>
    <col min="19" max="16384" width="13.625" style="144"/>
  </cols>
  <sheetData>
    <row r="1" customHeight="1" spans="3:3">
      <c r="C1" s="152"/>
    </row>
    <row r="2" customHeight="1" spans="3:18">
      <c r="C2" s="152"/>
      <c r="I2" s="152" t="s">
        <v>115</v>
      </c>
      <c r="J2" s="152"/>
      <c r="M2" s="152" t="s">
        <v>116</v>
      </c>
      <c r="P2" s="152"/>
      <c r="R2" s="152" t="s">
        <v>117</v>
      </c>
    </row>
    <row r="3" customHeight="1" spans="2:18">
      <c r="B3" s="127" t="s">
        <v>86</v>
      </c>
      <c r="C3" s="153" t="s">
        <v>118</v>
      </c>
      <c r="D3" s="153" t="s">
        <v>119</v>
      </c>
      <c r="E3" s="154" t="s">
        <v>120</v>
      </c>
      <c r="F3" s="153" t="s">
        <v>121</v>
      </c>
      <c r="G3" s="153" t="s">
        <v>122</v>
      </c>
      <c r="H3" s="155" t="s">
        <v>123</v>
      </c>
      <c r="I3" s="153" t="s">
        <v>124</v>
      </c>
      <c r="J3" s="153" t="s">
        <v>125</v>
      </c>
      <c r="K3" s="153" t="s">
        <v>126</v>
      </c>
      <c r="L3" s="154" t="s">
        <v>127</v>
      </c>
      <c r="M3" s="153" t="s">
        <v>128</v>
      </c>
      <c r="N3" s="153" t="s">
        <v>91</v>
      </c>
      <c r="O3" s="153" t="s">
        <v>129</v>
      </c>
      <c r="P3" s="166" t="s">
        <v>130</v>
      </c>
      <c r="Q3" s="172" t="s">
        <v>131</v>
      </c>
      <c r="R3" s="173" t="s">
        <v>132</v>
      </c>
    </row>
    <row r="4" customHeight="1" spans="2:18">
      <c r="B4" s="127">
        <v>1</v>
      </c>
      <c r="C4" s="147">
        <f>'光伏发电衰减表 输入数据'!F6*'光伏发电衰减表 输入数据'!$P$6/1.13</f>
        <v>20445.2904159056</v>
      </c>
      <c r="D4" s="150">
        <f>C4*0.13</f>
        <v>2657.88775406773</v>
      </c>
      <c r="E4" s="150">
        <f>$C$39/1.06*0.06+$E$39/1.06*0.06</f>
        <v>2094.33962264151</v>
      </c>
      <c r="F4" s="150">
        <f>'光伏发电衰减表 输入数据'!E6*'光伏发电衰减表 输入数据'!$P$10/1.13*0.13</f>
        <v>69459.2953106439</v>
      </c>
      <c r="G4" s="150">
        <f>-$E$41+F4-E4+D4</f>
        <v>-95114.771236829</v>
      </c>
      <c r="H4" s="150">
        <f>IF(G4&lt;0,0,G4)</f>
        <v>0</v>
      </c>
      <c r="I4" s="150">
        <f t="shared" ref="I4:I10" si="0">H4*$K$40</f>
        <v>0</v>
      </c>
      <c r="J4" s="150">
        <f>H4*$K$41</f>
        <v>0</v>
      </c>
      <c r="K4" s="150">
        <f>H4*$K$42</f>
        <v>0</v>
      </c>
      <c r="L4" s="150">
        <f>SUM(I4:K4)</f>
        <v>0</v>
      </c>
      <c r="M4" s="150">
        <f>$C$41*(2/10*100%)</f>
        <v>366972.47706422</v>
      </c>
      <c r="N4" s="150">
        <v>0</v>
      </c>
      <c r="O4" s="150">
        <f>'光伏发电衰减表 输入数据'!E6*'光伏发电衰减表 输入数据'!$P$10/1.13</f>
        <v>534302.271620338</v>
      </c>
      <c r="P4" s="147">
        <f>C4+O4-$C$39/1.06-$E$39/1.06-M4-N4-L4</f>
        <v>152869.424594664</v>
      </c>
      <c r="Q4" s="150">
        <f>IF(P4&lt;0,0,P4*$K$43)</f>
        <v>7643.47122973322</v>
      </c>
      <c r="R4" s="174">
        <f>SUM(H4+L4)</f>
        <v>0</v>
      </c>
    </row>
    <row r="5" customHeight="1" spans="2:18">
      <c r="B5" s="127">
        <v>2</v>
      </c>
      <c r="C5" s="147">
        <f>'光伏发电衰减表 输入数据'!F7*'光伏发电衰减表 输入数据'!$P$6/1.13</f>
        <v>20362.6831819019</v>
      </c>
      <c r="D5" s="150">
        <f t="shared" ref="D5:D33" si="1">C5*0.13</f>
        <v>2647.14881364725</v>
      </c>
      <c r="E5" s="150">
        <f t="shared" ref="E5:E33" si="2">$C$39/1.06*0.06+$E$39/1.06*0.06</f>
        <v>2094.33962264151</v>
      </c>
      <c r="F5" s="150">
        <f>'光伏发电衰减表 输入数据'!E7*'光伏发电衰减表 输入数据'!$P$10/1.13*0.13</f>
        <v>69178.6516932271</v>
      </c>
      <c r="G5" s="150">
        <f>-$E$41+SUM(F4:F5)-SUM(E4:E5)+SUM(D4:D5)</f>
        <v>-25383.3103525961</v>
      </c>
      <c r="H5" s="150">
        <f t="shared" ref="H5:H33" si="3">IF(G5&lt;0,0,G5)</f>
        <v>0</v>
      </c>
      <c r="I5" s="150">
        <f t="shared" si="0"/>
        <v>0</v>
      </c>
      <c r="J5" s="150">
        <f>H5*$K$41</f>
        <v>0</v>
      </c>
      <c r="K5" s="150">
        <f>H5*$K$42</f>
        <v>0</v>
      </c>
      <c r="L5" s="150">
        <f>SUM(I5:K5)</f>
        <v>0</v>
      </c>
      <c r="M5" s="150">
        <f>($C$41-M4)*(2/10*100%)</f>
        <v>293577.981651376</v>
      </c>
      <c r="N5" s="150">
        <v>0</v>
      </c>
      <c r="O5" s="150">
        <f>'光伏发电衰减表 输入数据'!E7*'光伏发电衰减表 输入数据'!$P$10/1.13</f>
        <v>532143.474563286</v>
      </c>
      <c r="P5" s="147">
        <f t="shared" ref="P5:P33" si="4">C5+O5-$C$39/1.06-$E$39/1.06-M5-N5-L5</f>
        <v>224022.515716453</v>
      </c>
      <c r="Q5" s="150">
        <f>IF(P5&lt;0,0,P5*$K$43)</f>
        <v>11201.1257858226</v>
      </c>
      <c r="R5" s="174">
        <f>SUM(H5+L5)</f>
        <v>0</v>
      </c>
    </row>
    <row r="6" customHeight="1" spans="2:18">
      <c r="B6" s="127">
        <v>3</v>
      </c>
      <c r="C6" s="147">
        <f>'光伏发电衰减表 输入数据'!F8*'光伏发电衰减表 输入数据'!$P$6/1.13</f>
        <v>20280.0759478983</v>
      </c>
      <c r="D6" s="150">
        <f t="shared" si="1"/>
        <v>2636.40987322678</v>
      </c>
      <c r="E6" s="150">
        <f t="shared" si="2"/>
        <v>2094.33962264151</v>
      </c>
      <c r="F6" s="150">
        <f>'光伏发电衰减表 输入数据'!E8*'光伏发电衰减表 输入数据'!$P$10/1.13*0.13</f>
        <v>68898.0080758104</v>
      </c>
      <c r="G6" s="150">
        <f>F6-E6+D6</f>
        <v>69440.0783263957</v>
      </c>
      <c r="H6" s="150">
        <f t="shared" si="3"/>
        <v>69440.0783263957</v>
      </c>
      <c r="I6" s="150">
        <f t="shared" si="0"/>
        <v>2430.40274142385</v>
      </c>
      <c r="J6" s="150">
        <f>H6*$K$41</f>
        <v>1041.60117489593</v>
      </c>
      <c r="K6" s="150">
        <f t="shared" ref="K5:K33" si="5">H6*$K$42</f>
        <v>694.400783263957</v>
      </c>
      <c r="L6" s="150">
        <f t="shared" ref="L6:L33" si="6">SUM(I6:K6)</f>
        <v>4166.40469958374</v>
      </c>
      <c r="M6" s="150">
        <f>($C$41-M5-M4)*(2/10*100%)</f>
        <v>234862.385321101</v>
      </c>
      <c r="N6" s="150">
        <v>0</v>
      </c>
      <c r="O6" s="150">
        <f>'光伏发电衰减表 输入数据'!E8*'光伏发电衰减表 输入数据'!$P$10/1.13</f>
        <v>529984.677506234</v>
      </c>
      <c r="P6" s="147">
        <f t="shared" si="4"/>
        <v>276330.303056089</v>
      </c>
      <c r="Q6" s="150">
        <f t="shared" ref="Q6:Q33" si="7">IF(P6&lt;0,0,P6*$K$43)</f>
        <v>13816.5151528045</v>
      </c>
      <c r="R6" s="174">
        <f t="shared" ref="R6:R33" si="8">SUM(H6+L6)</f>
        <v>73606.4830259794</v>
      </c>
    </row>
    <row r="7" customHeight="1" spans="2:18">
      <c r="B7" s="127">
        <v>4</v>
      </c>
      <c r="C7" s="147">
        <f>'光伏发电衰减表 输入数据'!F9*'光伏发电衰减表 输入数据'!$P$6/1.13</f>
        <v>20197.4687138946</v>
      </c>
      <c r="D7" s="150">
        <f t="shared" si="1"/>
        <v>2625.6709328063</v>
      </c>
      <c r="E7" s="150">
        <f t="shared" si="2"/>
        <v>2094.33962264151</v>
      </c>
      <c r="F7" s="150">
        <f>'光伏发电衰减表 输入数据'!E9*'光伏发电衰减表 输入数据'!$P$10/1.13*0.13</f>
        <v>68617.3644583937</v>
      </c>
      <c r="G7" s="150">
        <f t="shared" ref="G7:G33" si="9">F7-E7+D7</f>
        <v>69148.6957685584</v>
      </c>
      <c r="H7" s="150">
        <f t="shared" si="3"/>
        <v>69148.6957685584</v>
      </c>
      <c r="I7" s="150">
        <f t="shared" si="0"/>
        <v>2420.20435189955</v>
      </c>
      <c r="J7" s="150">
        <f t="shared" ref="J6:J33" si="10">H7*$K$41</f>
        <v>1037.23043652838</v>
      </c>
      <c r="K7" s="150">
        <f t="shared" si="5"/>
        <v>691.486957685584</v>
      </c>
      <c r="L7" s="150">
        <f t="shared" si="6"/>
        <v>4148.92174611351</v>
      </c>
      <c r="M7" s="150">
        <f>($C$41-M6-M5-M4)*(2/10*100%)</f>
        <v>187889.908256881</v>
      </c>
      <c r="N7" s="150">
        <v>0</v>
      </c>
      <c r="O7" s="150">
        <f>'光伏发电衰减表 输入数据'!E9*'光伏发电衰减表 输入数据'!$P$10/1.13</f>
        <v>527825.880449182</v>
      </c>
      <c r="P7" s="147">
        <f t="shared" si="4"/>
        <v>321078.858782724</v>
      </c>
      <c r="Q7" s="150">
        <f t="shared" si="7"/>
        <v>16053.9429391362</v>
      </c>
      <c r="R7" s="174">
        <f t="shared" si="8"/>
        <v>73297.617514672</v>
      </c>
    </row>
    <row r="8" customHeight="1" spans="2:18">
      <c r="B8" s="127">
        <v>5</v>
      </c>
      <c r="C8" s="147">
        <f>'光伏发电衰减表 输入数据'!F10*'光伏发电衰减表 输入数据'!$P$6/1.13</f>
        <v>20114.861479891</v>
      </c>
      <c r="D8" s="150">
        <f t="shared" si="1"/>
        <v>2614.93199238582</v>
      </c>
      <c r="E8" s="150">
        <f t="shared" si="2"/>
        <v>2094.33962264151</v>
      </c>
      <c r="F8" s="150">
        <f>'光伏发电衰减表 输入数据'!E10*'光伏发电衰减表 输入数据'!$P$10/1.13*0.13</f>
        <v>68336.7208409769</v>
      </c>
      <c r="G8" s="150">
        <f t="shared" si="9"/>
        <v>68857.3132107212</v>
      </c>
      <c r="H8" s="150">
        <f t="shared" si="3"/>
        <v>68857.3132107212</v>
      </c>
      <c r="I8" s="150">
        <f t="shared" si="0"/>
        <v>2410.00596237524</v>
      </c>
      <c r="J8" s="150">
        <f t="shared" si="10"/>
        <v>1032.85969816082</v>
      </c>
      <c r="K8" s="150">
        <f t="shared" si="5"/>
        <v>688.573132107212</v>
      </c>
      <c r="L8" s="150">
        <f t="shared" si="6"/>
        <v>4131.43879264327</v>
      </c>
      <c r="M8" s="150">
        <f>($C$41-M7-M6-M5-M4)*(2/10*100%)</f>
        <v>150311.926605505</v>
      </c>
      <c r="N8" s="150">
        <v>0</v>
      </c>
      <c r="O8" s="150">
        <f>'光伏发电衰减表 输入数据'!E10*'光伏发电衰减表 输入数据'!$P$10/1.13</f>
        <v>525667.08339213</v>
      </c>
      <c r="P8" s="147">
        <f t="shared" si="4"/>
        <v>356432.919096515</v>
      </c>
      <c r="Q8" s="150">
        <f t="shared" si="7"/>
        <v>17821.6459548257</v>
      </c>
      <c r="R8" s="174">
        <f t="shared" si="8"/>
        <v>72988.7520033645</v>
      </c>
    </row>
    <row r="9" customHeight="1" spans="2:18">
      <c r="B9" s="127">
        <v>6</v>
      </c>
      <c r="C9" s="147">
        <f>'光伏发电衰减表 输入数据'!F11*'光伏发电衰减表 输入数据'!$P$6/1.13</f>
        <v>20032.2542458873</v>
      </c>
      <c r="D9" s="150">
        <f t="shared" si="1"/>
        <v>2604.19305196535</v>
      </c>
      <c r="E9" s="150">
        <f t="shared" si="2"/>
        <v>2094.33962264151</v>
      </c>
      <c r="F9" s="150">
        <f>'光伏发电衰减表 输入数据'!E11*'光伏发电衰减表 输入数据'!$P$10/1.13*0.13</f>
        <v>68056.0772235602</v>
      </c>
      <c r="G9" s="150">
        <f t="shared" si="9"/>
        <v>68565.930652884</v>
      </c>
      <c r="H9" s="150">
        <f t="shared" si="3"/>
        <v>68565.930652884</v>
      </c>
      <c r="I9" s="150">
        <f t="shared" si="0"/>
        <v>2399.80757285094</v>
      </c>
      <c r="J9" s="150">
        <f t="shared" si="10"/>
        <v>1028.48895979326</v>
      </c>
      <c r="K9" s="150">
        <f t="shared" si="5"/>
        <v>685.65930652884</v>
      </c>
      <c r="L9" s="150">
        <f t="shared" si="6"/>
        <v>4113.95583917304</v>
      </c>
      <c r="M9" s="150">
        <f>($C$41-M8-M7-M6-M5-M4)*(2/10*100%)</f>
        <v>120249.541284404</v>
      </c>
      <c r="N9" s="150">
        <v>0</v>
      </c>
      <c r="O9" s="150">
        <f>'光伏发电衰减表 输入数据'!E11*'光伏发电衰减表 输入数据'!$P$10/1.13</f>
        <v>523508.286335078</v>
      </c>
      <c r="P9" s="147">
        <f t="shared" si="4"/>
        <v>384271.38308003</v>
      </c>
      <c r="Q9" s="150">
        <f t="shared" si="7"/>
        <v>19213.5691540015</v>
      </c>
      <c r="R9" s="174">
        <f t="shared" si="8"/>
        <v>72679.886492057</v>
      </c>
    </row>
    <row r="10" customHeight="1" spans="2:18">
      <c r="B10" s="127">
        <v>7</v>
      </c>
      <c r="C10" s="147">
        <f>'光伏发电衰减表 输入数据'!F12*'光伏发电衰减表 输入数据'!$P$6/1.13</f>
        <v>19949.6470118836</v>
      </c>
      <c r="D10" s="150">
        <f t="shared" si="1"/>
        <v>2593.45411154487</v>
      </c>
      <c r="E10" s="150">
        <f t="shared" si="2"/>
        <v>2094.33962264151</v>
      </c>
      <c r="F10" s="150">
        <f>'光伏发电衰减表 输入数据'!E12*'光伏发电衰减表 输入数据'!$P$10/1.13*0.13</f>
        <v>67775.4336061434</v>
      </c>
      <c r="G10" s="150">
        <f t="shared" si="9"/>
        <v>68274.5480950468</v>
      </c>
      <c r="H10" s="150">
        <f t="shared" si="3"/>
        <v>68274.5480950468</v>
      </c>
      <c r="I10" s="150">
        <f t="shared" si="0"/>
        <v>2389.60918332664</v>
      </c>
      <c r="J10" s="150">
        <f t="shared" si="10"/>
        <v>1024.1182214257</v>
      </c>
      <c r="K10" s="150">
        <f t="shared" si="5"/>
        <v>682.745480950468</v>
      </c>
      <c r="L10" s="150">
        <f t="shared" si="6"/>
        <v>4096.47288570281</v>
      </c>
      <c r="M10" s="150">
        <f>($C$41-M9-M8-M7-M6-M5-M4)*(2/10*100%)</f>
        <v>96199.6330275229</v>
      </c>
      <c r="N10" s="150">
        <v>0</v>
      </c>
      <c r="O10" s="150">
        <f>'光伏发电衰减表 输入数据'!E12*'光伏发电衰减表 输入数据'!$P$10/1.13</f>
        <v>521349.489278026</v>
      </c>
      <c r="P10" s="147">
        <f t="shared" si="4"/>
        <v>406097.369999326</v>
      </c>
      <c r="Q10" s="150">
        <f t="shared" si="7"/>
        <v>20304.8684999663</v>
      </c>
      <c r="R10" s="174">
        <f t="shared" si="8"/>
        <v>72371.0209807496</v>
      </c>
    </row>
    <row r="11" customHeight="1" spans="2:18">
      <c r="B11" s="127">
        <v>8</v>
      </c>
      <c r="C11" s="147">
        <f>'光伏发电衰减表 输入数据'!F13*'光伏发电衰减表 输入数据'!$P$6/1.13</f>
        <v>19867.03977788</v>
      </c>
      <c r="D11" s="150">
        <f t="shared" si="1"/>
        <v>2582.7151711244</v>
      </c>
      <c r="E11" s="150">
        <f t="shared" si="2"/>
        <v>2094.33962264151</v>
      </c>
      <c r="F11" s="150">
        <f>'光伏发电衰减表 输入数据'!E13*'光伏发电衰减表 输入数据'!$P$10/1.13*0.13</f>
        <v>67494.7899887267</v>
      </c>
      <c r="G11" s="150">
        <f t="shared" si="9"/>
        <v>67983.1655372096</v>
      </c>
      <c r="H11" s="150">
        <f t="shared" si="3"/>
        <v>67983.1655372096</v>
      </c>
      <c r="I11" s="150">
        <f t="shared" ref="I11:I33" si="11">H11*$K$40</f>
        <v>2379.41079380234</v>
      </c>
      <c r="J11" s="150">
        <f t="shared" si="10"/>
        <v>1019.74748305814</v>
      </c>
      <c r="K11" s="150">
        <f t="shared" si="5"/>
        <v>679.831655372096</v>
      </c>
      <c r="L11" s="150">
        <f t="shared" si="6"/>
        <v>4078.98993223257</v>
      </c>
      <c r="M11" s="150">
        <f>($C$41-M10-M9-M8-M7-M6-M5-M4)*(2/10*100%)</f>
        <v>76959.7064220183</v>
      </c>
      <c r="N11" s="150">
        <v>0</v>
      </c>
      <c r="O11" s="150">
        <f>'光伏发电衰减表 输入数据'!E13*'光伏发电衰减表 输入数据'!$P$10/1.13</f>
        <v>519190.692220974</v>
      </c>
      <c r="P11" s="147">
        <f t="shared" si="4"/>
        <v>423113.375267245</v>
      </c>
      <c r="Q11" s="150">
        <f t="shared" si="7"/>
        <v>21155.6687633622</v>
      </c>
      <c r="R11" s="174">
        <f t="shared" si="8"/>
        <v>72062.1554694422</v>
      </c>
    </row>
    <row r="12" customHeight="1" spans="2:18">
      <c r="B12" s="127">
        <v>9</v>
      </c>
      <c r="C12" s="147">
        <f>'光伏发电衰减表 输入数据'!F14*'光伏发电衰减表 输入数据'!$P$6/1.13</f>
        <v>19784.4325438763</v>
      </c>
      <c r="D12" s="150">
        <f t="shared" si="1"/>
        <v>2571.97623070392</v>
      </c>
      <c r="E12" s="150">
        <f t="shared" si="2"/>
        <v>2094.33962264151</v>
      </c>
      <c r="F12" s="150">
        <f>'光伏发电衰减表 输入数据'!E14*'光伏发电衰减表 输入数据'!$P$10/1.13*0.13</f>
        <v>67214.1463713099</v>
      </c>
      <c r="G12" s="150">
        <f t="shared" si="9"/>
        <v>67691.7829793724</v>
      </c>
      <c r="H12" s="150">
        <f t="shared" si="3"/>
        <v>67691.7829793724</v>
      </c>
      <c r="I12" s="150">
        <f t="shared" si="11"/>
        <v>2369.21240427803</v>
      </c>
      <c r="J12" s="150">
        <f t="shared" si="10"/>
        <v>1015.37674469059</v>
      </c>
      <c r="K12" s="150">
        <f t="shared" si="5"/>
        <v>676.917829793724</v>
      </c>
      <c r="L12" s="150">
        <f t="shared" si="6"/>
        <v>4061.50697876234</v>
      </c>
      <c r="M12" s="150">
        <f>(C41-SUM(M4:M11))/2</f>
        <v>153919.412844037</v>
      </c>
      <c r="N12" s="150">
        <v>0</v>
      </c>
      <c r="O12" s="150">
        <f>'光伏发电衰减表 输入数据'!E14*'光伏发电衰减表 输入数据'!$P$10/1.13</f>
        <v>517031.895163923</v>
      </c>
      <c r="P12" s="147">
        <f t="shared" si="4"/>
        <v>343929.747507641</v>
      </c>
      <c r="Q12" s="150">
        <f t="shared" si="7"/>
        <v>17196.4873753821</v>
      </c>
      <c r="R12" s="174">
        <f t="shared" si="8"/>
        <v>71753.2899581347</v>
      </c>
    </row>
    <row r="13" customHeight="1" spans="2:18">
      <c r="B13" s="127">
        <v>10</v>
      </c>
      <c r="C13" s="147">
        <f>'光伏发电衰减表 输入数据'!F15*'光伏发电衰减表 输入数据'!$P$6/1.13</f>
        <v>19701.8253098727</v>
      </c>
      <c r="D13" s="150">
        <f t="shared" si="1"/>
        <v>2561.23729028345</v>
      </c>
      <c r="E13" s="150">
        <f t="shared" si="2"/>
        <v>2094.33962264151</v>
      </c>
      <c r="F13" s="150">
        <f>'光伏发电衰减表 输入数据'!E15*'光伏发电衰减表 输入数据'!$P$10/1.13*0.13</f>
        <v>66933.5027538932</v>
      </c>
      <c r="G13" s="150">
        <f t="shared" si="9"/>
        <v>67400.4004215351</v>
      </c>
      <c r="H13" s="150">
        <f t="shared" si="3"/>
        <v>67400.4004215351</v>
      </c>
      <c r="I13" s="150">
        <f t="shared" si="11"/>
        <v>2359.01401475373</v>
      </c>
      <c r="J13" s="150">
        <f t="shared" si="10"/>
        <v>1011.00600632303</v>
      </c>
      <c r="K13" s="150">
        <f t="shared" si="5"/>
        <v>674.004004215351</v>
      </c>
      <c r="L13" s="150">
        <f t="shared" si="6"/>
        <v>4044.02402529211</v>
      </c>
      <c r="M13" s="150">
        <f>M12</f>
        <v>153919.412844037</v>
      </c>
      <c r="N13" s="150">
        <v>0</v>
      </c>
      <c r="O13" s="150">
        <f>'光伏发电衰减表 输入数据'!E15*'光伏发电衰减表 输入数据'!$P$10/1.13</f>
        <v>514873.098106871</v>
      </c>
      <c r="P13" s="147">
        <f t="shared" si="4"/>
        <v>341705.826170056</v>
      </c>
      <c r="Q13" s="150">
        <f t="shared" si="7"/>
        <v>17085.2913085028</v>
      </c>
      <c r="R13" s="174">
        <f t="shared" si="8"/>
        <v>71444.4244468272</v>
      </c>
    </row>
    <row r="14" customHeight="1" spans="2:18">
      <c r="B14" s="127">
        <v>11</v>
      </c>
      <c r="C14" s="147">
        <f>'光伏发电衰减表 输入数据'!F16*'光伏发电衰减表 输入数据'!$P$6/1.13</f>
        <v>19619.218075869</v>
      </c>
      <c r="D14" s="150">
        <f t="shared" si="1"/>
        <v>2550.49834986297</v>
      </c>
      <c r="E14" s="150">
        <f t="shared" si="2"/>
        <v>2094.33962264151</v>
      </c>
      <c r="F14" s="150">
        <f>'光伏发电衰减表 输入数据'!E16*'光伏发电衰减表 输入数据'!$P$10/1.13*0.13</f>
        <v>66652.8591364764</v>
      </c>
      <c r="G14" s="150">
        <f t="shared" si="9"/>
        <v>67109.0178636979</v>
      </c>
      <c r="H14" s="150">
        <f t="shared" si="3"/>
        <v>67109.0178636979</v>
      </c>
      <c r="I14" s="150">
        <f t="shared" si="11"/>
        <v>2348.81562522943</v>
      </c>
      <c r="J14" s="150">
        <f t="shared" si="10"/>
        <v>1006.63526795547</v>
      </c>
      <c r="K14" s="150">
        <f t="shared" si="5"/>
        <v>671.090178636979</v>
      </c>
      <c r="L14" s="150">
        <f t="shared" si="6"/>
        <v>4026.54107182187</v>
      </c>
      <c r="M14" s="150">
        <v>0</v>
      </c>
      <c r="N14" s="150">
        <v>0</v>
      </c>
      <c r="O14" s="150">
        <f>'光伏发电衰减表 输入数据'!E16*'光伏发电衰减表 输入数据'!$P$10/1.13</f>
        <v>512714.301049819</v>
      </c>
      <c r="P14" s="147">
        <f t="shared" si="4"/>
        <v>493401.317676507</v>
      </c>
      <c r="Q14" s="150">
        <f t="shared" si="7"/>
        <v>24670.0658838254</v>
      </c>
      <c r="R14" s="174">
        <f t="shared" si="8"/>
        <v>71135.5589355198</v>
      </c>
    </row>
    <row r="15" customHeight="1" spans="2:18">
      <c r="B15" s="127">
        <v>12</v>
      </c>
      <c r="C15" s="147">
        <f>'光伏发电衰减表 输入数据'!F17*'光伏发电衰减表 输入数据'!$P$6/1.13</f>
        <v>19536.6108418653</v>
      </c>
      <c r="D15" s="150">
        <f t="shared" si="1"/>
        <v>2539.75940944249</v>
      </c>
      <c r="E15" s="150">
        <f t="shared" si="2"/>
        <v>2094.33962264151</v>
      </c>
      <c r="F15" s="150">
        <f>'光伏发电衰减表 输入数据'!E17*'光伏发电衰减表 输入数据'!$P$10/1.13*0.13</f>
        <v>66372.2155190597</v>
      </c>
      <c r="G15" s="150">
        <f t="shared" si="9"/>
        <v>66817.6353058607</v>
      </c>
      <c r="H15" s="150">
        <f t="shared" si="3"/>
        <v>66817.6353058607</v>
      </c>
      <c r="I15" s="150">
        <f t="shared" si="11"/>
        <v>2338.61723570512</v>
      </c>
      <c r="J15" s="150">
        <f t="shared" si="10"/>
        <v>1002.26452958791</v>
      </c>
      <c r="K15" s="150">
        <f t="shared" si="5"/>
        <v>668.176353058607</v>
      </c>
      <c r="L15" s="150">
        <f t="shared" si="6"/>
        <v>4009.05811835164</v>
      </c>
      <c r="M15" s="150">
        <v>0</v>
      </c>
      <c r="N15" s="150">
        <v>0</v>
      </c>
      <c r="O15" s="150">
        <f>'光伏发电衰减表 输入数据'!E17*'光伏发电衰减表 输入数据'!$P$10/1.13</f>
        <v>510555.503992767</v>
      </c>
      <c r="P15" s="147">
        <f t="shared" si="4"/>
        <v>491177.396338922</v>
      </c>
      <c r="Q15" s="150">
        <f t="shared" si="7"/>
        <v>24558.8698169461</v>
      </c>
      <c r="R15" s="174">
        <f t="shared" si="8"/>
        <v>70826.6934242123</v>
      </c>
    </row>
    <row r="16" customHeight="1" spans="2:18">
      <c r="B16" s="127">
        <v>13</v>
      </c>
      <c r="C16" s="147">
        <f>'光伏发电衰减表 输入数据'!F18*'光伏发电衰减表 输入数据'!$P$6/1.13</f>
        <v>19454.0036078617</v>
      </c>
      <c r="D16" s="150">
        <f t="shared" si="1"/>
        <v>2529.02046902202</v>
      </c>
      <c r="E16" s="150">
        <f t="shared" si="2"/>
        <v>2094.33962264151</v>
      </c>
      <c r="F16" s="150">
        <f>'光伏发电衰减表 输入数据'!E18*'光伏发电衰减表 输入数据'!$P$10/1.13*0.13</f>
        <v>66091.571901643</v>
      </c>
      <c r="G16" s="150">
        <f t="shared" si="9"/>
        <v>66526.2527480235</v>
      </c>
      <c r="H16" s="150">
        <f t="shared" si="3"/>
        <v>66526.2527480235</v>
      </c>
      <c r="I16" s="150">
        <f t="shared" si="11"/>
        <v>2328.41884618082</v>
      </c>
      <c r="J16" s="150">
        <f t="shared" si="10"/>
        <v>997.893791220352</v>
      </c>
      <c r="K16" s="150">
        <f t="shared" si="5"/>
        <v>665.262527480235</v>
      </c>
      <c r="L16" s="150">
        <f t="shared" si="6"/>
        <v>3991.57516488141</v>
      </c>
      <c r="M16" s="150">
        <v>0</v>
      </c>
      <c r="N16" s="150">
        <v>0</v>
      </c>
      <c r="O16" s="150">
        <f>'光伏发电衰减表 输入数据'!E18*'光伏发电衰减表 输入数据'!$P$10/1.13</f>
        <v>508396.706935715</v>
      </c>
      <c r="P16" s="147">
        <f t="shared" si="4"/>
        <v>488953.475001337</v>
      </c>
      <c r="Q16" s="150">
        <f t="shared" si="7"/>
        <v>24447.6737500668</v>
      </c>
      <c r="R16" s="174">
        <f t="shared" si="8"/>
        <v>70517.8279129049</v>
      </c>
    </row>
    <row r="17" customHeight="1" spans="2:18">
      <c r="B17" s="127">
        <v>14</v>
      </c>
      <c r="C17" s="147">
        <f>'光伏发电衰减表 输入数据'!F19*'光伏发电衰减表 输入数据'!$P$6/1.13</f>
        <v>19371.396373858</v>
      </c>
      <c r="D17" s="150">
        <f t="shared" si="1"/>
        <v>2518.28152860154</v>
      </c>
      <c r="E17" s="150">
        <f t="shared" si="2"/>
        <v>2094.33962264151</v>
      </c>
      <c r="F17" s="150">
        <f>'光伏发电衰减表 输入数据'!E19*'光伏发电衰减表 输入数据'!$P$10/1.13*0.13</f>
        <v>65810.9282842262</v>
      </c>
      <c r="G17" s="150">
        <f t="shared" si="9"/>
        <v>66234.8701901863</v>
      </c>
      <c r="H17" s="150">
        <f t="shared" si="3"/>
        <v>66234.8701901863</v>
      </c>
      <c r="I17" s="150">
        <f t="shared" si="11"/>
        <v>2318.22045665652</v>
      </c>
      <c r="J17" s="150">
        <f t="shared" si="10"/>
        <v>993.523052852794</v>
      </c>
      <c r="K17" s="150">
        <f t="shared" si="5"/>
        <v>662.348701901863</v>
      </c>
      <c r="L17" s="150">
        <f t="shared" si="6"/>
        <v>3974.09221141118</v>
      </c>
      <c r="M17" s="150">
        <v>0</v>
      </c>
      <c r="N17" s="150">
        <v>0</v>
      </c>
      <c r="O17" s="150">
        <f>'光伏发电衰减表 输入数据'!E19*'光伏发电衰减表 输入数据'!$P$10/1.13</f>
        <v>506237.909878663</v>
      </c>
      <c r="P17" s="147">
        <f t="shared" si="4"/>
        <v>486729.553663752</v>
      </c>
      <c r="Q17" s="150">
        <f t="shared" si="7"/>
        <v>24336.4776831876</v>
      </c>
      <c r="R17" s="174">
        <f t="shared" si="8"/>
        <v>70208.9624015974</v>
      </c>
    </row>
    <row r="18" customHeight="1" spans="2:18">
      <c r="B18" s="127">
        <v>15</v>
      </c>
      <c r="C18" s="147">
        <f>'光伏发电衰减表 输入数据'!F20*'光伏发电衰减表 输入数据'!$P$6/1.13</f>
        <v>19288.7891398544</v>
      </c>
      <c r="D18" s="150">
        <f t="shared" si="1"/>
        <v>2507.54258818107</v>
      </c>
      <c r="E18" s="150">
        <f t="shared" si="2"/>
        <v>2094.33962264151</v>
      </c>
      <c r="F18" s="150">
        <f>'光伏发电衰减表 输入数据'!E20*'光伏发电衰减表 输入数据'!$P$10/1.13*0.13</f>
        <v>65530.2846668095</v>
      </c>
      <c r="G18" s="150">
        <f t="shared" si="9"/>
        <v>65943.487632349</v>
      </c>
      <c r="H18" s="150">
        <f t="shared" si="3"/>
        <v>65943.487632349</v>
      </c>
      <c r="I18" s="150">
        <f t="shared" si="11"/>
        <v>2308.02206713222</v>
      </c>
      <c r="J18" s="150">
        <f t="shared" si="10"/>
        <v>989.152314485235</v>
      </c>
      <c r="K18" s="150">
        <f t="shared" si="5"/>
        <v>659.43487632349</v>
      </c>
      <c r="L18" s="150">
        <f t="shared" si="6"/>
        <v>3956.60925794094</v>
      </c>
      <c r="M18" s="150">
        <v>0</v>
      </c>
      <c r="N18" s="150">
        <v>0</v>
      </c>
      <c r="O18" s="150">
        <f>'光伏发电衰减表 输入数据'!E20*'光伏发电衰减表 输入数据'!$P$10/1.13</f>
        <v>504079.112821611</v>
      </c>
      <c r="P18" s="147">
        <f t="shared" si="4"/>
        <v>484505.632326166</v>
      </c>
      <c r="Q18" s="150">
        <f t="shared" si="7"/>
        <v>24225.2816163083</v>
      </c>
      <c r="R18" s="174">
        <f t="shared" si="8"/>
        <v>69900.09689029</v>
      </c>
    </row>
    <row r="19" customHeight="1" spans="2:18">
      <c r="B19" s="127">
        <v>16</v>
      </c>
      <c r="C19" s="147">
        <f>'光伏发电衰减表 输入数据'!F21*'光伏发电衰减表 输入数据'!$P$6/1.13</f>
        <v>19206.1819058507</v>
      </c>
      <c r="D19" s="150">
        <f t="shared" si="1"/>
        <v>2496.80364776059</v>
      </c>
      <c r="E19" s="150">
        <f t="shared" si="2"/>
        <v>2094.33962264151</v>
      </c>
      <c r="F19" s="150">
        <f>'光伏发电衰减表 输入数据'!E21*'光伏发电衰减表 输入数据'!$P$10/1.13*0.13</f>
        <v>65249.6410493927</v>
      </c>
      <c r="G19" s="150">
        <f t="shared" si="9"/>
        <v>65652.1050745118</v>
      </c>
      <c r="H19" s="150">
        <f t="shared" si="3"/>
        <v>65652.1050745118</v>
      </c>
      <c r="I19" s="150">
        <f t="shared" si="11"/>
        <v>2297.82367760791</v>
      </c>
      <c r="J19" s="150">
        <f t="shared" si="10"/>
        <v>984.781576117677</v>
      </c>
      <c r="K19" s="150">
        <f t="shared" si="5"/>
        <v>656.521050745118</v>
      </c>
      <c r="L19" s="150">
        <f t="shared" si="6"/>
        <v>3939.12630447071</v>
      </c>
      <c r="M19" s="150">
        <v>0</v>
      </c>
      <c r="N19" s="150">
        <v>0</v>
      </c>
      <c r="O19" s="150">
        <f>'光伏发电衰减表 输入数据'!E21*'光伏发电衰减表 输入数据'!$P$10/1.13</f>
        <v>501920.315764559</v>
      </c>
      <c r="P19" s="147">
        <f t="shared" si="4"/>
        <v>482281.710988581</v>
      </c>
      <c r="Q19" s="150">
        <f t="shared" si="7"/>
        <v>24114.085549429</v>
      </c>
      <c r="R19" s="174">
        <f t="shared" si="8"/>
        <v>69591.2313789825</v>
      </c>
    </row>
    <row r="20" customHeight="1" spans="2:18">
      <c r="B20" s="127">
        <v>17</v>
      </c>
      <c r="C20" s="147">
        <f>'光伏发电衰减表 输入数据'!F22*'光伏发电衰减表 输入数据'!$P$6/1.13</f>
        <v>19123.574671847</v>
      </c>
      <c r="D20" s="150">
        <f t="shared" si="1"/>
        <v>2486.06470734012</v>
      </c>
      <c r="E20" s="150">
        <f t="shared" si="2"/>
        <v>2094.33962264151</v>
      </c>
      <c r="F20" s="150">
        <f>'光伏发电衰减表 输入数据'!E22*'光伏发电衰减表 输入数据'!$P$10/1.13*0.13</f>
        <v>64968.997431976</v>
      </c>
      <c r="G20" s="150">
        <f t="shared" si="9"/>
        <v>65360.7225166746</v>
      </c>
      <c r="H20" s="150">
        <f t="shared" si="3"/>
        <v>65360.7225166746</v>
      </c>
      <c r="I20" s="150">
        <f t="shared" si="11"/>
        <v>2287.62528808361</v>
      </c>
      <c r="J20" s="150">
        <f t="shared" si="10"/>
        <v>980.410837750119</v>
      </c>
      <c r="K20" s="150">
        <f t="shared" si="5"/>
        <v>653.607225166746</v>
      </c>
      <c r="L20" s="150">
        <f t="shared" si="6"/>
        <v>3921.64335100048</v>
      </c>
      <c r="M20" s="150">
        <v>0</v>
      </c>
      <c r="N20" s="150">
        <v>0</v>
      </c>
      <c r="O20" s="150">
        <f>'光伏发电衰减表 输入数据'!E22*'光伏发电衰减表 输入数据'!$P$10/1.13</f>
        <v>499761.518707508</v>
      </c>
      <c r="P20" s="147">
        <f t="shared" si="4"/>
        <v>480057.789650996</v>
      </c>
      <c r="Q20" s="150">
        <f t="shared" si="7"/>
        <v>24002.8894825498</v>
      </c>
      <c r="R20" s="174">
        <f t="shared" si="8"/>
        <v>69282.3658676751</v>
      </c>
    </row>
    <row r="21" customHeight="1" spans="2:18">
      <c r="B21" s="127">
        <v>18</v>
      </c>
      <c r="C21" s="147">
        <f>'光伏发电衰减表 输入数据'!F23*'光伏发电衰减表 输入数据'!$P$6/1.13</f>
        <v>19040.9674378434</v>
      </c>
      <c r="D21" s="150">
        <f t="shared" si="1"/>
        <v>2475.32576691964</v>
      </c>
      <c r="E21" s="150">
        <f t="shared" si="2"/>
        <v>2094.33962264151</v>
      </c>
      <c r="F21" s="150">
        <f>'光伏发电衰减表 输入数据'!E23*'光伏发电衰减表 输入数据'!$P$10/1.13*0.13</f>
        <v>64688.3538145592</v>
      </c>
      <c r="G21" s="150">
        <f t="shared" si="9"/>
        <v>65069.3399588374</v>
      </c>
      <c r="H21" s="150">
        <f t="shared" si="3"/>
        <v>65069.3399588374</v>
      </c>
      <c r="I21" s="150">
        <f t="shared" si="11"/>
        <v>2277.42689855931</v>
      </c>
      <c r="J21" s="150">
        <f t="shared" si="10"/>
        <v>976.040099382561</v>
      </c>
      <c r="K21" s="150">
        <f t="shared" si="5"/>
        <v>650.693399588374</v>
      </c>
      <c r="L21" s="150">
        <f t="shared" si="6"/>
        <v>3904.16039753024</v>
      </c>
      <c r="M21" s="150">
        <v>0</v>
      </c>
      <c r="N21" s="150">
        <v>0</v>
      </c>
      <c r="O21" s="150">
        <f>'光伏发电衰减表 输入数据'!E23*'光伏发电衰减表 输入数据'!$P$10/1.13</f>
        <v>497602.721650456</v>
      </c>
      <c r="P21" s="147">
        <f t="shared" si="4"/>
        <v>477833.86831341</v>
      </c>
      <c r="Q21" s="150">
        <f t="shared" si="7"/>
        <v>23891.6934156705</v>
      </c>
      <c r="R21" s="174">
        <f t="shared" si="8"/>
        <v>68973.5003563676</v>
      </c>
    </row>
    <row r="22" customHeight="1" spans="2:18">
      <c r="B22" s="127">
        <v>19</v>
      </c>
      <c r="C22" s="147">
        <f>'光伏发电衰减表 输入数据'!F24*'光伏发电衰减表 输入数据'!$P$6/1.13</f>
        <v>18958.3602038397</v>
      </c>
      <c r="D22" s="150">
        <f t="shared" si="1"/>
        <v>2464.58682649916</v>
      </c>
      <c r="E22" s="150">
        <f t="shared" si="2"/>
        <v>2094.33962264151</v>
      </c>
      <c r="F22" s="150">
        <f>'光伏发电衰减表 输入数据'!E24*'光伏发电衰减表 输入数据'!$P$10/1.13*0.13</f>
        <v>64407.7101971425</v>
      </c>
      <c r="G22" s="150">
        <f t="shared" si="9"/>
        <v>64777.9574010002</v>
      </c>
      <c r="H22" s="150">
        <f t="shared" si="3"/>
        <v>64777.9574010002</v>
      </c>
      <c r="I22" s="150">
        <f t="shared" si="11"/>
        <v>2267.22850903501</v>
      </c>
      <c r="J22" s="150">
        <f t="shared" si="10"/>
        <v>971.669361015002</v>
      </c>
      <c r="K22" s="150">
        <f t="shared" si="5"/>
        <v>647.779574010002</v>
      </c>
      <c r="L22" s="150">
        <f t="shared" si="6"/>
        <v>3886.67744406001</v>
      </c>
      <c r="M22" s="150">
        <v>0</v>
      </c>
      <c r="N22" s="150">
        <v>0</v>
      </c>
      <c r="O22" s="150">
        <f>'光伏发电衰减表 输入数据'!E24*'光伏发电衰减表 输入数据'!$P$10/1.13</f>
        <v>495443.924593404</v>
      </c>
      <c r="P22" s="147">
        <f t="shared" si="4"/>
        <v>475609.946975825</v>
      </c>
      <c r="Q22" s="150">
        <f t="shared" si="7"/>
        <v>23780.4973487913</v>
      </c>
      <c r="R22" s="174">
        <f t="shared" si="8"/>
        <v>68664.6348450602</v>
      </c>
    </row>
    <row r="23" customHeight="1" spans="2:18">
      <c r="B23" s="127">
        <v>20</v>
      </c>
      <c r="C23" s="147">
        <f>'光伏发电衰减表 输入数据'!F25*'光伏发电衰减表 输入数据'!$P$6/1.13</f>
        <v>18875.7529698361</v>
      </c>
      <c r="D23" s="150">
        <f t="shared" si="1"/>
        <v>2453.84788607869</v>
      </c>
      <c r="E23" s="150">
        <f t="shared" si="2"/>
        <v>2094.33962264151</v>
      </c>
      <c r="F23" s="150">
        <f>'光伏发电衰减表 输入数据'!E25*'光伏发电衰减表 输入数据'!$P$10/1.13*0.13</f>
        <v>64127.0665797258</v>
      </c>
      <c r="G23" s="150">
        <f t="shared" si="9"/>
        <v>64486.5748431629</v>
      </c>
      <c r="H23" s="150">
        <f t="shared" si="3"/>
        <v>64486.5748431629</v>
      </c>
      <c r="I23" s="150">
        <f t="shared" si="11"/>
        <v>2257.0301195107</v>
      </c>
      <c r="J23" s="150">
        <f t="shared" si="10"/>
        <v>967.298622647444</v>
      </c>
      <c r="K23" s="150">
        <f t="shared" si="5"/>
        <v>644.86574843163</v>
      </c>
      <c r="L23" s="150">
        <f t="shared" si="6"/>
        <v>3869.19449058978</v>
      </c>
      <c r="M23" s="150">
        <v>0</v>
      </c>
      <c r="N23" s="150">
        <v>0</v>
      </c>
      <c r="O23" s="150">
        <f>'光伏发电衰减表 输入数据'!E25*'光伏发电衰减表 输入数据'!$P$10/1.13</f>
        <v>493285.127536352</v>
      </c>
      <c r="P23" s="147">
        <f t="shared" si="4"/>
        <v>473386.02563824</v>
      </c>
      <c r="Q23" s="150">
        <f t="shared" si="7"/>
        <v>23669.301281912</v>
      </c>
      <c r="R23" s="174">
        <f t="shared" si="8"/>
        <v>68355.7693337527</v>
      </c>
    </row>
    <row r="24" customHeight="1" spans="2:18">
      <c r="B24" s="127">
        <v>21</v>
      </c>
      <c r="C24" s="147">
        <f>'光伏发电衰减表 输入数据'!F26*'光伏发电衰减表 输入数据'!$P$6/1.13</f>
        <v>18793.1457358324</v>
      </c>
      <c r="D24" s="150">
        <f t="shared" si="1"/>
        <v>2443.10894565821</v>
      </c>
      <c r="E24" s="150">
        <f t="shared" si="2"/>
        <v>2094.33962264151</v>
      </c>
      <c r="F24" s="150">
        <f>'光伏发电衰减表 输入数据'!E26*'光伏发电衰减表 输入数据'!$P$10/1.13*0.13</f>
        <v>63846.422962309</v>
      </c>
      <c r="G24" s="150">
        <f t="shared" si="9"/>
        <v>64195.1922853257</v>
      </c>
      <c r="H24" s="150">
        <f t="shared" si="3"/>
        <v>64195.1922853257</v>
      </c>
      <c r="I24" s="150">
        <f t="shared" si="11"/>
        <v>2246.8317299864</v>
      </c>
      <c r="J24" s="150">
        <f t="shared" si="10"/>
        <v>962.927884279886</v>
      </c>
      <c r="K24" s="150">
        <f t="shared" si="5"/>
        <v>641.951922853257</v>
      </c>
      <c r="L24" s="150">
        <f t="shared" si="6"/>
        <v>3851.71153711954</v>
      </c>
      <c r="M24" s="150">
        <v>0</v>
      </c>
      <c r="N24" s="150">
        <v>0</v>
      </c>
      <c r="O24" s="150">
        <f>'光伏发电衰减表 输入数据'!E26*'光伏发电衰减表 输入数据'!$P$10/1.13</f>
        <v>491126.3304793</v>
      </c>
      <c r="P24" s="147">
        <f t="shared" si="4"/>
        <v>471162.104300654</v>
      </c>
      <c r="Q24" s="150">
        <f t="shared" si="7"/>
        <v>23558.1052150327</v>
      </c>
      <c r="R24" s="174">
        <f t="shared" si="8"/>
        <v>68046.9038224453</v>
      </c>
    </row>
    <row r="25" customHeight="1" spans="2:18">
      <c r="B25" s="127">
        <v>22</v>
      </c>
      <c r="C25" s="147">
        <f>'光伏发电衰减表 输入数据'!F27*'光伏发电衰减表 输入数据'!$P$6/1.13</f>
        <v>18710.5385018288</v>
      </c>
      <c r="D25" s="150">
        <f t="shared" si="1"/>
        <v>2432.37000523774</v>
      </c>
      <c r="E25" s="150">
        <f t="shared" si="2"/>
        <v>2094.33962264151</v>
      </c>
      <c r="F25" s="150">
        <f>'光伏发电衰减表 输入数据'!E27*'光伏发电衰减表 输入数据'!$P$10/1.13*0.13</f>
        <v>63565.7793448923</v>
      </c>
      <c r="G25" s="150">
        <f t="shared" si="9"/>
        <v>63903.8097274885</v>
      </c>
      <c r="H25" s="150">
        <f t="shared" si="3"/>
        <v>63903.8097274885</v>
      </c>
      <c r="I25" s="150">
        <f t="shared" si="11"/>
        <v>2236.6333404621</v>
      </c>
      <c r="J25" s="150">
        <f t="shared" si="10"/>
        <v>958.557145912327</v>
      </c>
      <c r="K25" s="150">
        <f t="shared" si="5"/>
        <v>639.038097274885</v>
      </c>
      <c r="L25" s="150">
        <f t="shared" si="6"/>
        <v>3834.22858364931</v>
      </c>
      <c r="M25" s="150">
        <v>0</v>
      </c>
      <c r="N25" s="150">
        <v>0</v>
      </c>
      <c r="O25" s="150">
        <f>'光伏发电衰减表 输入数据'!E27*'光伏发电衰减表 输入数据'!$P$10/1.13</f>
        <v>488967.533422248</v>
      </c>
      <c r="P25" s="147">
        <f t="shared" si="4"/>
        <v>468938.182963069</v>
      </c>
      <c r="Q25" s="150">
        <f t="shared" si="7"/>
        <v>23446.9091481535</v>
      </c>
      <c r="R25" s="174">
        <f t="shared" si="8"/>
        <v>67738.0383111378</v>
      </c>
    </row>
    <row r="26" customHeight="1" spans="2:18">
      <c r="B26" s="127">
        <v>23</v>
      </c>
      <c r="C26" s="147">
        <f>'光伏发电衰减表 输入数据'!F28*'光伏发电衰减表 输入数据'!$P$6/1.13</f>
        <v>18627.9312678251</v>
      </c>
      <c r="D26" s="150">
        <f t="shared" si="1"/>
        <v>2421.63106481726</v>
      </c>
      <c r="E26" s="150">
        <f t="shared" si="2"/>
        <v>2094.33962264151</v>
      </c>
      <c r="F26" s="150">
        <f>'光伏发电衰减表 输入数据'!E28*'光伏发电衰减表 输入数据'!$P$10/1.13*0.13</f>
        <v>63285.1357274755</v>
      </c>
      <c r="G26" s="150">
        <f t="shared" si="9"/>
        <v>63612.4271696513</v>
      </c>
      <c r="H26" s="150">
        <f t="shared" si="3"/>
        <v>63612.4271696513</v>
      </c>
      <c r="I26" s="150">
        <f t="shared" si="11"/>
        <v>2226.43495093779</v>
      </c>
      <c r="J26" s="150">
        <f t="shared" si="10"/>
        <v>954.186407544769</v>
      </c>
      <c r="K26" s="150">
        <f t="shared" si="5"/>
        <v>636.124271696513</v>
      </c>
      <c r="L26" s="150">
        <f t="shared" si="6"/>
        <v>3816.74563017908</v>
      </c>
      <c r="M26" s="150">
        <v>0</v>
      </c>
      <c r="N26" s="150">
        <v>0</v>
      </c>
      <c r="O26" s="150">
        <f>'光伏发电衰减表 输入数据'!E28*'光伏发电衰减表 输入数据'!$P$10/1.13</f>
        <v>486808.736365196</v>
      </c>
      <c r="P26" s="147">
        <f t="shared" si="4"/>
        <v>466714.261625484</v>
      </c>
      <c r="Q26" s="150">
        <f t="shared" si="7"/>
        <v>23335.7130812742</v>
      </c>
      <c r="R26" s="174">
        <f t="shared" si="8"/>
        <v>67429.1727998304</v>
      </c>
    </row>
    <row r="27" customHeight="1" spans="2:18">
      <c r="B27" s="127">
        <v>24</v>
      </c>
      <c r="C27" s="147">
        <f>'光伏发电衰减表 输入数据'!F29*'光伏发电衰减表 输入数据'!$P$6/1.13</f>
        <v>18545.3240338214</v>
      </c>
      <c r="D27" s="150">
        <f t="shared" si="1"/>
        <v>2410.89212439679</v>
      </c>
      <c r="E27" s="150">
        <f t="shared" si="2"/>
        <v>2094.33962264151</v>
      </c>
      <c r="F27" s="150">
        <f>'光伏发电衰减表 输入数据'!E29*'光伏发电衰减表 输入数据'!$P$10/1.13*0.13</f>
        <v>63004.4921100588</v>
      </c>
      <c r="G27" s="150">
        <f t="shared" si="9"/>
        <v>63321.0446118141</v>
      </c>
      <c r="H27" s="150">
        <f t="shared" si="3"/>
        <v>63321.0446118141</v>
      </c>
      <c r="I27" s="150">
        <f t="shared" si="11"/>
        <v>2216.23656141349</v>
      </c>
      <c r="J27" s="150">
        <f t="shared" si="10"/>
        <v>949.815669177211</v>
      </c>
      <c r="K27" s="150">
        <f t="shared" si="5"/>
        <v>633.210446118141</v>
      </c>
      <c r="L27" s="150">
        <f t="shared" si="6"/>
        <v>3799.26267670884</v>
      </c>
      <c r="M27" s="150">
        <v>0</v>
      </c>
      <c r="N27" s="150">
        <v>0</v>
      </c>
      <c r="O27" s="150">
        <f>'光伏发电衰减表 输入数据'!E29*'光伏发电衰减表 输入数据'!$P$10/1.13</f>
        <v>484649.939308144</v>
      </c>
      <c r="P27" s="147">
        <f t="shared" si="4"/>
        <v>464490.340287898</v>
      </c>
      <c r="Q27" s="150">
        <f t="shared" si="7"/>
        <v>23224.5170143949</v>
      </c>
      <c r="R27" s="174">
        <f t="shared" si="8"/>
        <v>67120.3072885229</v>
      </c>
    </row>
    <row r="28" customHeight="1" spans="2:18">
      <c r="B28" s="127">
        <v>25</v>
      </c>
      <c r="C28" s="147">
        <f>'光伏发电衰减表 输入数据'!F30*'光伏发电衰减表 输入数据'!$P$6/1.13</f>
        <v>18462.7167998178</v>
      </c>
      <c r="D28" s="150">
        <f t="shared" si="1"/>
        <v>2400.15318397631</v>
      </c>
      <c r="E28" s="150">
        <f t="shared" si="2"/>
        <v>2094.33962264151</v>
      </c>
      <c r="F28" s="150">
        <f>'光伏发电衰减表 输入数据'!E30*'光伏发电衰减表 输入数据'!$P$10/1.13*0.13</f>
        <v>62723.848492642</v>
      </c>
      <c r="G28" s="150">
        <f t="shared" si="9"/>
        <v>63029.6620539769</v>
      </c>
      <c r="H28" s="150">
        <f t="shared" si="3"/>
        <v>63029.6620539769</v>
      </c>
      <c r="I28" s="150">
        <f t="shared" si="11"/>
        <v>2206.03817188919</v>
      </c>
      <c r="J28" s="150">
        <f t="shared" si="10"/>
        <v>945.444930809653</v>
      </c>
      <c r="K28" s="150">
        <f t="shared" si="5"/>
        <v>630.296620539769</v>
      </c>
      <c r="L28" s="150">
        <f t="shared" si="6"/>
        <v>3781.77972323861</v>
      </c>
      <c r="M28" s="150">
        <v>0</v>
      </c>
      <c r="N28" s="150">
        <v>0</v>
      </c>
      <c r="O28" s="150">
        <f>'光伏发电衰减表 输入数据'!E30*'光伏发电衰减表 输入数据'!$P$10/1.13</f>
        <v>482491.142251093</v>
      </c>
      <c r="P28" s="147">
        <f t="shared" si="4"/>
        <v>462266.418950313</v>
      </c>
      <c r="Q28" s="150">
        <f t="shared" si="7"/>
        <v>23113.3209475157</v>
      </c>
      <c r="R28" s="174">
        <f t="shared" si="8"/>
        <v>66811.4417772155</v>
      </c>
    </row>
    <row r="29" customHeight="1" spans="2:18">
      <c r="B29" s="127">
        <v>26</v>
      </c>
      <c r="C29" s="147" t="e">
        <f>'光伏发电衰减表 输入数据'!#REF!*'光伏发电衰减表 输入数据'!$P$6/1.13</f>
        <v>#REF!</v>
      </c>
      <c r="D29" s="150" t="e">
        <f t="shared" si="1"/>
        <v>#REF!</v>
      </c>
      <c r="E29" s="150">
        <f t="shared" si="2"/>
        <v>2094.33962264151</v>
      </c>
      <c r="F29" s="150" t="e">
        <f>'光伏发电衰减表 输入数据'!#REF!*'光伏发电衰减表 输入数据'!$P$10/1.13*0.13</f>
        <v>#REF!</v>
      </c>
      <c r="G29" s="150" t="e">
        <f t="shared" si="9"/>
        <v>#REF!</v>
      </c>
      <c r="H29" s="150" t="e">
        <f t="shared" si="3"/>
        <v>#REF!</v>
      </c>
      <c r="I29" s="150" t="e">
        <f t="shared" si="11"/>
        <v>#REF!</v>
      </c>
      <c r="J29" s="150" t="e">
        <f t="shared" si="10"/>
        <v>#REF!</v>
      </c>
      <c r="K29" s="150" t="e">
        <f t="shared" si="5"/>
        <v>#REF!</v>
      </c>
      <c r="L29" s="150" t="e">
        <f t="shared" si="6"/>
        <v>#REF!</v>
      </c>
      <c r="M29" s="150">
        <v>0</v>
      </c>
      <c r="N29" s="150">
        <v>0</v>
      </c>
      <c r="O29" s="150" t="e">
        <f>'光伏发电衰减表 输入数据'!#REF!*'光伏发电衰减表 输入数据'!$P$10/1.13</f>
        <v>#REF!</v>
      </c>
      <c r="P29" s="147" t="e">
        <f t="shared" si="4"/>
        <v>#REF!</v>
      </c>
      <c r="Q29" s="150" t="e">
        <f t="shared" si="7"/>
        <v>#REF!</v>
      </c>
      <c r="R29" s="174" t="e">
        <f t="shared" si="8"/>
        <v>#REF!</v>
      </c>
    </row>
    <row r="30" customHeight="1" spans="2:18">
      <c r="B30" s="127">
        <v>27</v>
      </c>
      <c r="C30" s="147" t="e">
        <f>'光伏发电衰减表 输入数据'!#REF!*'光伏发电衰减表 输入数据'!$P$6/1.13</f>
        <v>#REF!</v>
      </c>
      <c r="D30" s="150" t="e">
        <f t="shared" si="1"/>
        <v>#REF!</v>
      </c>
      <c r="E30" s="150">
        <f t="shared" si="2"/>
        <v>2094.33962264151</v>
      </c>
      <c r="F30" s="150" t="e">
        <f>'光伏发电衰减表 输入数据'!#REF!*'光伏发电衰减表 输入数据'!$P$10/1.13*0.13</f>
        <v>#REF!</v>
      </c>
      <c r="G30" s="150" t="e">
        <f t="shared" si="9"/>
        <v>#REF!</v>
      </c>
      <c r="H30" s="150" t="e">
        <f t="shared" si="3"/>
        <v>#REF!</v>
      </c>
      <c r="I30" s="150" t="e">
        <f t="shared" si="11"/>
        <v>#REF!</v>
      </c>
      <c r="J30" s="150" t="e">
        <f t="shared" si="10"/>
        <v>#REF!</v>
      </c>
      <c r="K30" s="150" t="e">
        <f t="shared" si="5"/>
        <v>#REF!</v>
      </c>
      <c r="L30" s="150" t="e">
        <f t="shared" si="6"/>
        <v>#REF!</v>
      </c>
      <c r="M30" s="150">
        <v>0</v>
      </c>
      <c r="N30" s="150">
        <v>0</v>
      </c>
      <c r="O30" s="150" t="e">
        <f>'光伏发电衰减表 输入数据'!#REF!*'光伏发电衰减表 输入数据'!$P$10/1.13</f>
        <v>#REF!</v>
      </c>
      <c r="P30" s="147" t="e">
        <f t="shared" si="4"/>
        <v>#REF!</v>
      </c>
      <c r="Q30" s="150" t="e">
        <f t="shared" si="7"/>
        <v>#REF!</v>
      </c>
      <c r="R30" s="174" t="e">
        <f t="shared" si="8"/>
        <v>#REF!</v>
      </c>
    </row>
    <row r="31" customHeight="1" spans="2:18">
      <c r="B31" s="127">
        <v>28</v>
      </c>
      <c r="C31" s="147" t="e">
        <f>'光伏发电衰减表 输入数据'!#REF!*'光伏发电衰减表 输入数据'!$P$6/1.13</f>
        <v>#REF!</v>
      </c>
      <c r="D31" s="150" t="e">
        <f t="shared" si="1"/>
        <v>#REF!</v>
      </c>
      <c r="E31" s="150">
        <f t="shared" si="2"/>
        <v>2094.33962264151</v>
      </c>
      <c r="F31" s="150" t="e">
        <f>'光伏发电衰减表 输入数据'!#REF!*'光伏发电衰减表 输入数据'!$P$10/1.13*0.13</f>
        <v>#REF!</v>
      </c>
      <c r="G31" s="150" t="e">
        <f t="shared" si="9"/>
        <v>#REF!</v>
      </c>
      <c r="H31" s="150" t="e">
        <f t="shared" si="3"/>
        <v>#REF!</v>
      </c>
      <c r="I31" s="150" t="e">
        <f t="shared" si="11"/>
        <v>#REF!</v>
      </c>
      <c r="J31" s="150" t="e">
        <f t="shared" si="10"/>
        <v>#REF!</v>
      </c>
      <c r="K31" s="150" t="e">
        <f t="shared" si="5"/>
        <v>#REF!</v>
      </c>
      <c r="L31" s="150" t="e">
        <f t="shared" si="6"/>
        <v>#REF!</v>
      </c>
      <c r="M31" s="150">
        <v>0</v>
      </c>
      <c r="N31" s="150">
        <v>0</v>
      </c>
      <c r="O31" s="150" t="e">
        <f>'光伏发电衰减表 输入数据'!#REF!*'光伏发电衰减表 输入数据'!$P$10/1.13</f>
        <v>#REF!</v>
      </c>
      <c r="P31" s="147" t="e">
        <f t="shared" si="4"/>
        <v>#REF!</v>
      </c>
      <c r="Q31" s="150" t="e">
        <f t="shared" si="7"/>
        <v>#REF!</v>
      </c>
      <c r="R31" s="174" t="e">
        <f t="shared" si="8"/>
        <v>#REF!</v>
      </c>
    </row>
    <row r="32" customHeight="1" spans="2:18">
      <c r="B32" s="127">
        <v>29</v>
      </c>
      <c r="C32" s="147" t="e">
        <f>'光伏发电衰减表 输入数据'!#REF!*'光伏发电衰减表 输入数据'!$P$6/1.13</f>
        <v>#REF!</v>
      </c>
      <c r="D32" s="150" t="e">
        <f t="shared" si="1"/>
        <v>#REF!</v>
      </c>
      <c r="E32" s="150">
        <f t="shared" si="2"/>
        <v>2094.33962264151</v>
      </c>
      <c r="F32" s="150" t="e">
        <f>'光伏发电衰减表 输入数据'!#REF!*'光伏发电衰减表 输入数据'!$P$10/1.13*0.13</f>
        <v>#REF!</v>
      </c>
      <c r="G32" s="150" t="e">
        <f t="shared" si="9"/>
        <v>#REF!</v>
      </c>
      <c r="H32" s="150" t="e">
        <f t="shared" si="3"/>
        <v>#REF!</v>
      </c>
      <c r="I32" s="150" t="e">
        <f t="shared" si="11"/>
        <v>#REF!</v>
      </c>
      <c r="J32" s="150" t="e">
        <f t="shared" si="10"/>
        <v>#REF!</v>
      </c>
      <c r="K32" s="150" t="e">
        <f t="shared" si="5"/>
        <v>#REF!</v>
      </c>
      <c r="L32" s="150" t="e">
        <f t="shared" si="6"/>
        <v>#REF!</v>
      </c>
      <c r="M32" s="150">
        <v>0</v>
      </c>
      <c r="N32" s="150">
        <v>0</v>
      </c>
      <c r="O32" s="150" t="e">
        <f>'光伏发电衰减表 输入数据'!#REF!*'光伏发电衰减表 输入数据'!$P$10/1.13</f>
        <v>#REF!</v>
      </c>
      <c r="P32" s="147" t="e">
        <f t="shared" si="4"/>
        <v>#REF!</v>
      </c>
      <c r="Q32" s="150" t="e">
        <f t="shared" si="7"/>
        <v>#REF!</v>
      </c>
      <c r="R32" s="174" t="e">
        <f t="shared" si="8"/>
        <v>#REF!</v>
      </c>
    </row>
    <row r="33" customHeight="1" spans="2:18">
      <c r="B33" s="127">
        <v>30</v>
      </c>
      <c r="C33" s="147" t="e">
        <f>'光伏发电衰减表 输入数据'!#REF!*'光伏发电衰减表 输入数据'!$P$6/1.13</f>
        <v>#REF!</v>
      </c>
      <c r="D33" s="150" t="e">
        <f t="shared" si="1"/>
        <v>#REF!</v>
      </c>
      <c r="E33" s="150">
        <f t="shared" si="2"/>
        <v>2094.33962264151</v>
      </c>
      <c r="F33" s="150" t="e">
        <f>'光伏发电衰减表 输入数据'!#REF!*'光伏发电衰减表 输入数据'!$P$10/1.13*0.13</f>
        <v>#REF!</v>
      </c>
      <c r="G33" s="150" t="e">
        <f t="shared" si="9"/>
        <v>#REF!</v>
      </c>
      <c r="H33" s="150" t="e">
        <f t="shared" si="3"/>
        <v>#REF!</v>
      </c>
      <c r="I33" s="150" t="e">
        <f t="shared" si="11"/>
        <v>#REF!</v>
      </c>
      <c r="J33" s="150" t="e">
        <f t="shared" si="10"/>
        <v>#REF!</v>
      </c>
      <c r="K33" s="150" t="e">
        <f t="shared" si="5"/>
        <v>#REF!</v>
      </c>
      <c r="L33" s="150" t="e">
        <f t="shared" si="6"/>
        <v>#REF!</v>
      </c>
      <c r="M33" s="150">
        <v>0</v>
      </c>
      <c r="N33" s="150">
        <v>0</v>
      </c>
      <c r="O33" s="150" t="e">
        <f>'光伏发电衰减表 输入数据'!#REF!*'光伏发电衰减表 输入数据'!$P$10/1.13</f>
        <v>#REF!</v>
      </c>
      <c r="P33" s="147" t="e">
        <f t="shared" si="4"/>
        <v>#REF!</v>
      </c>
      <c r="Q33" s="150" t="e">
        <f t="shared" si="7"/>
        <v>#REF!</v>
      </c>
      <c r="R33" s="174" t="e">
        <f t="shared" si="8"/>
        <v>#REF!</v>
      </c>
    </row>
    <row r="34" customHeight="1" spans="2:18">
      <c r="B34" s="148" t="s">
        <v>52</v>
      </c>
      <c r="C34" s="151"/>
      <c r="D34" s="151"/>
      <c r="E34" s="151"/>
      <c r="F34" s="149"/>
      <c r="G34" s="156" t="s">
        <v>133</v>
      </c>
      <c r="H34" s="157" t="e">
        <f>SUM(H4:H33)</f>
        <v>#REF!</v>
      </c>
      <c r="I34" s="162"/>
      <c r="J34" s="162"/>
      <c r="K34" s="167" t="s">
        <v>134</v>
      </c>
      <c r="L34" s="168" t="e">
        <f>SUM(L4:L33)</f>
        <v>#REF!</v>
      </c>
      <c r="M34" s="162"/>
      <c r="N34" s="127"/>
      <c r="O34" s="127"/>
      <c r="P34" s="169" t="s">
        <v>135</v>
      </c>
      <c r="Q34" s="175" t="e">
        <f>SUM(Q4:Q33)</f>
        <v>#REF!</v>
      </c>
      <c r="R34" s="174" t="e">
        <f>SUM(H34+L34+Q34)</f>
        <v>#REF!</v>
      </c>
    </row>
    <row r="35" customHeight="1" spans="4:15">
      <c r="D35" s="145"/>
      <c r="F35" s="145"/>
      <c r="G35" s="145" t="s">
        <v>136</v>
      </c>
      <c r="H35" s="145"/>
      <c r="I35" s="145"/>
      <c r="J35" s="145"/>
      <c r="K35" s="145"/>
      <c r="L35" s="145"/>
      <c r="M35" s="170"/>
      <c r="N35" s="145"/>
      <c r="O35" s="145"/>
    </row>
    <row r="36" customHeight="1" spans="4:17">
      <c r="D36" s="145"/>
      <c r="F36" s="145"/>
      <c r="G36" s="145" t="s">
        <v>137</v>
      </c>
      <c r="H36" s="145"/>
      <c r="I36" s="145"/>
      <c r="J36" s="145"/>
      <c r="K36" s="145"/>
      <c r="L36" s="145"/>
      <c r="M36" s="170"/>
      <c r="N36" s="145"/>
      <c r="O36" s="145"/>
      <c r="P36" s="152"/>
      <c r="Q36" s="152"/>
    </row>
    <row r="37" customHeight="1" spans="4:15">
      <c r="D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</row>
    <row r="38" customHeight="1" spans="2:12">
      <c r="B38" s="127" t="s">
        <v>110</v>
      </c>
      <c r="C38" s="158">
        <f>基础数据!H7</f>
        <v>2000000</v>
      </c>
      <c r="D38" s="145"/>
      <c r="E38" s="159"/>
      <c r="H38" s="127" t="s">
        <v>138</v>
      </c>
      <c r="I38" s="127"/>
      <c r="J38" s="127" t="s">
        <v>139</v>
      </c>
      <c r="K38" s="127" t="s">
        <v>140</v>
      </c>
      <c r="L38" s="127" t="s">
        <v>141</v>
      </c>
    </row>
    <row r="39" customHeight="1" spans="2:12">
      <c r="B39" s="127" t="s">
        <v>111</v>
      </c>
      <c r="C39" s="158">
        <f>基础数据!J29</f>
        <v>30000</v>
      </c>
      <c r="D39" s="127" t="s">
        <v>112</v>
      </c>
      <c r="E39" s="158">
        <f>基础数据!J27</f>
        <v>7000</v>
      </c>
      <c r="H39" s="160" t="s">
        <v>142</v>
      </c>
      <c r="I39" s="162" t="s">
        <v>143</v>
      </c>
      <c r="J39" s="127">
        <v>0.09</v>
      </c>
      <c r="K39" s="171">
        <f>J39</f>
        <v>0.09</v>
      </c>
      <c r="L39" s="127" t="s">
        <v>144</v>
      </c>
    </row>
    <row r="40" customHeight="1" spans="8:12">
      <c r="H40" s="161"/>
      <c r="I40" s="162" t="s">
        <v>145</v>
      </c>
      <c r="J40" s="127">
        <v>0.07</v>
      </c>
      <c r="K40" s="171">
        <f>J40*0.5</f>
        <v>0.035</v>
      </c>
      <c r="L40" s="165" t="s">
        <v>146</v>
      </c>
    </row>
    <row r="41" customHeight="1" spans="2:12">
      <c r="B41" s="127" t="s">
        <v>113</v>
      </c>
      <c r="C41" s="158">
        <f>C38/1.09</f>
        <v>1834862.3853211</v>
      </c>
      <c r="D41" s="162" t="s">
        <v>147</v>
      </c>
      <c r="E41" s="158">
        <f>C41*0.09</f>
        <v>165137.614678899</v>
      </c>
      <c r="H41" s="161"/>
      <c r="I41" s="162" t="s">
        <v>148</v>
      </c>
      <c r="J41" s="127">
        <v>0.03</v>
      </c>
      <c r="K41" s="171">
        <f t="shared" ref="K41:K42" si="12">J41*0.5</f>
        <v>0.015</v>
      </c>
      <c r="L41" s="165"/>
    </row>
    <row r="42" customHeight="1" spans="5:12">
      <c r="E42" s="144"/>
      <c r="H42" s="163"/>
      <c r="I42" s="162" t="s">
        <v>126</v>
      </c>
      <c r="J42" s="127">
        <v>0.02</v>
      </c>
      <c r="K42" s="171">
        <f t="shared" si="12"/>
        <v>0.01</v>
      </c>
      <c r="L42" s="165"/>
    </row>
    <row r="43" customHeight="1" spans="8:12">
      <c r="H43" s="127" t="s">
        <v>149</v>
      </c>
      <c r="I43" s="162" t="s">
        <v>150</v>
      </c>
      <c r="J43" s="127">
        <v>0.25</v>
      </c>
      <c r="K43" s="171">
        <v>0.05</v>
      </c>
      <c r="L43" s="127" t="s">
        <v>151</v>
      </c>
    </row>
    <row r="44" customHeight="1" spans="2:2">
      <c r="B44" s="164" t="s">
        <v>152</v>
      </c>
    </row>
    <row r="46" customHeight="1" spans="8:12">
      <c r="H46" s="165" t="s">
        <v>153</v>
      </c>
      <c r="I46" s="127"/>
      <c r="J46" s="127"/>
      <c r="K46" s="127"/>
      <c r="L46" s="127"/>
    </row>
    <row r="47" customHeight="1" spans="8:12">
      <c r="H47" s="127"/>
      <c r="I47" s="127"/>
      <c r="J47" s="127"/>
      <c r="K47" s="127"/>
      <c r="L47" s="127"/>
    </row>
    <row r="48" customHeight="1" spans="8:12">
      <c r="H48" s="127"/>
      <c r="I48" s="127"/>
      <c r="J48" s="127"/>
      <c r="K48" s="127"/>
      <c r="L48" s="127"/>
    </row>
  </sheetData>
  <mergeCells count="5">
    <mergeCell ref="B34:F34"/>
    <mergeCell ref="H38:I38"/>
    <mergeCell ref="H39:H42"/>
    <mergeCell ref="L40:L42"/>
    <mergeCell ref="H46:L4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2"/>
  <sheetViews>
    <sheetView zoomScale="85" zoomScaleNormal="85" workbookViewId="0">
      <selection activeCell="A12" sqref="A12"/>
    </sheetView>
  </sheetViews>
  <sheetFormatPr defaultColWidth="13.625" defaultRowHeight="20.1" customHeight="1" outlineLevelCol="7"/>
  <cols>
    <col min="1" max="1" width="22.125" style="144" customWidth="1"/>
    <col min="2" max="2" width="13.625" style="144"/>
    <col min="3" max="3" width="6.875" style="144" customWidth="1"/>
    <col min="4" max="4" width="13.625" style="144"/>
    <col min="5" max="5" width="13.5" style="144" customWidth="1"/>
    <col min="6" max="6" width="14.5" style="144" customWidth="1"/>
    <col min="7" max="7" width="18.25" style="145" customWidth="1"/>
    <col min="8" max="8" width="19.5" style="144" customWidth="1"/>
    <col min="9" max="9" width="16.375" style="144" customWidth="1"/>
    <col min="10" max="10" width="17" style="144" customWidth="1"/>
    <col min="11" max="11" width="16" style="144" customWidth="1"/>
    <col min="12" max="13" width="15.25" style="144" customWidth="1"/>
    <col min="14" max="16384" width="13.625" style="144"/>
  </cols>
  <sheetData>
    <row r="2" customHeight="1" spans="4:8">
      <c r="D2" s="146" t="s">
        <v>154</v>
      </c>
      <c r="E2" s="146"/>
      <c r="F2" s="146"/>
      <c r="G2" s="146"/>
      <c r="H2" s="146"/>
    </row>
    <row r="3" customHeight="1" spans="1:8">
      <c r="A3" s="146" t="s">
        <v>155</v>
      </c>
      <c r="B3" s="147">
        <v>1000000</v>
      </c>
      <c r="D3" s="127" t="s">
        <v>86</v>
      </c>
      <c r="E3" s="148" t="s">
        <v>156</v>
      </c>
      <c r="F3" s="149"/>
      <c r="G3" s="127" t="s">
        <v>157</v>
      </c>
      <c r="H3" s="127" t="s">
        <v>158</v>
      </c>
    </row>
    <row r="4" customHeight="1" spans="1:8">
      <c r="A4" s="146" t="s">
        <v>159</v>
      </c>
      <c r="B4" s="127">
        <v>0.036</v>
      </c>
      <c r="D4" s="127">
        <v>1</v>
      </c>
      <c r="E4" s="147">
        <v>0</v>
      </c>
      <c r="F4" s="150">
        <f>B3</f>
        <v>1000000</v>
      </c>
      <c r="G4" s="150">
        <f>F4*$B$4</f>
        <v>36000</v>
      </c>
      <c r="H4" s="150">
        <f>G4</f>
        <v>36000</v>
      </c>
    </row>
    <row r="5" customHeight="1" spans="1:8">
      <c r="A5" s="146" t="s">
        <v>160</v>
      </c>
      <c r="B5" s="127">
        <v>5</v>
      </c>
      <c r="D5" s="127">
        <v>2</v>
      </c>
      <c r="E5" s="147">
        <f t="shared" ref="E5:E8" si="0">$B$9</f>
        <v>200000</v>
      </c>
      <c r="F5" s="150">
        <f>F4-E5</f>
        <v>800000</v>
      </c>
      <c r="G5" s="150">
        <f>F5*$B$4</f>
        <v>28800</v>
      </c>
      <c r="H5" s="150">
        <f t="shared" ref="H5:H8" si="1">G5</f>
        <v>28800</v>
      </c>
    </row>
    <row r="6" customHeight="1" spans="1:8">
      <c r="A6" s="146" t="s">
        <v>161</v>
      </c>
      <c r="B6" s="127" t="s">
        <v>162</v>
      </c>
      <c r="D6" s="127">
        <v>3</v>
      </c>
      <c r="E6" s="147">
        <f t="shared" si="0"/>
        <v>200000</v>
      </c>
      <c r="F6" s="150">
        <f>F5-E6</f>
        <v>600000</v>
      </c>
      <c r="G6" s="150">
        <f>F6*$B$4</f>
        <v>21600</v>
      </c>
      <c r="H6" s="150">
        <f t="shared" si="1"/>
        <v>21600</v>
      </c>
    </row>
    <row r="7" customHeight="1" spans="4:8">
      <c r="D7" s="127">
        <v>4</v>
      </c>
      <c r="E7" s="147">
        <f t="shared" si="0"/>
        <v>200000</v>
      </c>
      <c r="F7" s="150">
        <f>F6-E7</f>
        <v>400000</v>
      </c>
      <c r="G7" s="150">
        <f>F7*$B$4</f>
        <v>14400</v>
      </c>
      <c r="H7" s="150">
        <f t="shared" si="1"/>
        <v>14400</v>
      </c>
    </row>
    <row r="8" customHeight="1" spans="1:8">
      <c r="A8" s="146" t="s">
        <v>154</v>
      </c>
      <c r="B8" s="146"/>
      <c r="D8" s="127">
        <v>5</v>
      </c>
      <c r="E8" s="147">
        <f t="shared" si="0"/>
        <v>200000</v>
      </c>
      <c r="F8" s="150">
        <f>F7-E8</f>
        <v>200000</v>
      </c>
      <c r="G8" s="150">
        <f t="shared" ref="G8" si="2">F8*$B$4</f>
        <v>7200</v>
      </c>
      <c r="H8" s="150">
        <f t="shared" si="1"/>
        <v>7200</v>
      </c>
    </row>
    <row r="9" customHeight="1" spans="1:8">
      <c r="A9" s="146" t="s">
        <v>163</v>
      </c>
      <c r="B9" s="147">
        <f>B3/B5</f>
        <v>200000</v>
      </c>
      <c r="D9" s="127">
        <v>6</v>
      </c>
      <c r="E9" s="147"/>
      <c r="F9" s="150"/>
      <c r="G9" s="150"/>
      <c r="H9" s="150"/>
    </row>
    <row r="10" customHeight="1" spans="4:8">
      <c r="D10" s="127">
        <v>7</v>
      </c>
      <c r="E10" s="147"/>
      <c r="F10" s="150"/>
      <c r="G10" s="150"/>
      <c r="H10" s="150"/>
    </row>
    <row r="11" customHeight="1" spans="4:8">
      <c r="D11" s="127">
        <v>8</v>
      </c>
      <c r="E11" s="147"/>
      <c r="F11" s="150"/>
      <c r="G11" s="150"/>
      <c r="H11" s="150"/>
    </row>
    <row r="12" customHeight="1" spans="1:8">
      <c r="A12" s="144" t="s">
        <v>164</v>
      </c>
      <c r="D12" s="127">
        <v>9</v>
      </c>
      <c r="E12" s="147"/>
      <c r="F12" s="150"/>
      <c r="G12" s="150"/>
      <c r="H12" s="150"/>
    </row>
    <row r="13" customHeight="1" spans="4:8">
      <c r="D13" s="127">
        <v>10</v>
      </c>
      <c r="E13" s="147"/>
      <c r="F13" s="150"/>
      <c r="G13" s="150"/>
      <c r="H13" s="150"/>
    </row>
    <row r="14" customHeight="1" spans="4:8">
      <c r="D14" s="127">
        <v>11</v>
      </c>
      <c r="E14" s="147"/>
      <c r="F14" s="150"/>
      <c r="G14" s="150"/>
      <c r="H14" s="150"/>
    </row>
    <row r="15" customHeight="1" spans="4:8">
      <c r="D15" s="127">
        <v>12</v>
      </c>
      <c r="E15" s="147"/>
      <c r="F15" s="150"/>
      <c r="G15" s="150"/>
      <c r="H15" s="150"/>
    </row>
    <row r="16" customHeight="1" spans="4:8">
      <c r="D16" s="127">
        <v>13</v>
      </c>
      <c r="E16" s="147"/>
      <c r="F16" s="150"/>
      <c r="G16" s="150"/>
      <c r="H16" s="150"/>
    </row>
    <row r="17" customHeight="1" spans="4:8">
      <c r="D17" s="127">
        <v>14</v>
      </c>
      <c r="E17" s="147"/>
      <c r="F17" s="150"/>
      <c r="G17" s="150"/>
      <c r="H17" s="150"/>
    </row>
    <row r="18" customHeight="1" spans="4:8">
      <c r="D18" s="127">
        <v>15</v>
      </c>
      <c r="E18" s="147"/>
      <c r="F18" s="150"/>
      <c r="G18" s="150"/>
      <c r="H18" s="150"/>
    </row>
    <row r="19" customHeight="1" spans="4:8">
      <c r="D19" s="127">
        <v>16</v>
      </c>
      <c r="E19" s="147"/>
      <c r="F19" s="150"/>
      <c r="G19" s="150"/>
      <c r="H19" s="150"/>
    </row>
    <row r="20" customHeight="1" spans="4:8">
      <c r="D20" s="127">
        <v>17</v>
      </c>
      <c r="E20" s="147"/>
      <c r="F20" s="150"/>
      <c r="G20" s="150"/>
      <c r="H20" s="150"/>
    </row>
    <row r="21" customHeight="1" spans="4:8">
      <c r="D21" s="127">
        <v>18</v>
      </c>
      <c r="E21" s="147"/>
      <c r="F21" s="150"/>
      <c r="G21" s="150"/>
      <c r="H21" s="150"/>
    </row>
    <row r="22" customHeight="1" spans="4:8">
      <c r="D22" s="127">
        <v>19</v>
      </c>
      <c r="E22" s="147"/>
      <c r="F22" s="150"/>
      <c r="G22" s="150"/>
      <c r="H22" s="150"/>
    </row>
    <row r="23" customHeight="1" spans="4:8">
      <c r="D23" s="127">
        <v>20</v>
      </c>
      <c r="E23" s="147"/>
      <c r="F23" s="150"/>
      <c r="G23" s="150"/>
      <c r="H23" s="150"/>
    </row>
    <row r="24" customHeight="1" spans="4:8">
      <c r="D24" s="148"/>
      <c r="E24" s="151"/>
      <c r="F24" s="151"/>
      <c r="G24" s="151"/>
      <c r="H24" s="149"/>
    </row>
    <row r="25" customHeight="1" spans="6:8">
      <c r="F25" s="145"/>
      <c r="H25" s="145"/>
    </row>
    <row r="26" customHeight="1" spans="7:7">
      <c r="G26" s="144"/>
    </row>
    <row r="27" customHeight="1" spans="7:7">
      <c r="G27" s="144"/>
    </row>
    <row r="28" customHeight="1" spans="7:7">
      <c r="G28" s="144"/>
    </row>
    <row r="29" customHeight="1" spans="7:7">
      <c r="G29" s="144"/>
    </row>
    <row r="30" customHeight="1" spans="7:7">
      <c r="G30" s="144"/>
    </row>
    <row r="31" customHeight="1" spans="7:7">
      <c r="G31" s="144"/>
    </row>
    <row r="32" customHeight="1" spans="7:7">
      <c r="G32" s="144"/>
    </row>
  </sheetData>
  <mergeCells count="4">
    <mergeCell ref="D2:H2"/>
    <mergeCell ref="E3:F3"/>
    <mergeCell ref="A8:B8"/>
    <mergeCell ref="D24:H2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85" zoomScaleNormal="85" topLeftCell="B1" workbookViewId="0">
      <selection activeCell="J21" sqref="J21"/>
    </sheetView>
  </sheetViews>
  <sheetFormatPr defaultColWidth="9" defaultRowHeight="14.25"/>
  <cols>
    <col min="2" max="2" width="6.375" customWidth="1"/>
    <col min="3" max="3" width="15.5" customWidth="1"/>
    <col min="4" max="4" width="13" style="41" customWidth="1"/>
    <col min="5" max="5" width="12.125" style="41" customWidth="1"/>
    <col min="6" max="6" width="11.375" style="41" customWidth="1"/>
    <col min="7" max="7" width="14.625" customWidth="1"/>
    <col min="8" max="8" width="19" customWidth="1"/>
    <col min="9" max="9" width="20.625" customWidth="1"/>
    <col min="10" max="10" width="31.875" customWidth="1"/>
    <col min="11" max="11" width="16.125" customWidth="1"/>
    <col min="12" max="15" width="9.5" customWidth="1"/>
    <col min="16" max="19" width="16" customWidth="1"/>
  </cols>
  <sheetData>
    <row r="1" ht="17.25" spans="10:19">
      <c r="J1" s="17"/>
      <c r="K1" s="33" t="s">
        <v>73</v>
      </c>
      <c r="L1" s="33"/>
      <c r="M1" s="33"/>
      <c r="N1" s="33"/>
      <c r="O1" s="33"/>
      <c r="P1" s="33"/>
      <c r="Q1" s="33"/>
      <c r="R1" s="33"/>
      <c r="S1" s="33"/>
    </row>
    <row r="2" ht="18.6" customHeight="1" spans="1:19">
      <c r="A2" s="39"/>
      <c r="B2" s="42" t="s">
        <v>165</v>
      </c>
      <c r="C2" s="43"/>
      <c r="D2" s="43"/>
      <c r="E2" s="44" t="s">
        <v>166</v>
      </c>
      <c r="F2" s="44" t="s">
        <v>76</v>
      </c>
      <c r="G2" s="45"/>
      <c r="H2" s="46"/>
      <c r="J2" s="17"/>
      <c r="K2" s="33" t="s">
        <v>77</v>
      </c>
      <c r="L2" s="33" t="s">
        <v>78</v>
      </c>
      <c r="M2" s="33" t="s">
        <v>79</v>
      </c>
      <c r="N2" s="33" t="s">
        <v>80</v>
      </c>
      <c r="O2" s="33" t="s">
        <v>81</v>
      </c>
      <c r="P2" s="33" t="s">
        <v>82</v>
      </c>
      <c r="Q2" s="33" t="s">
        <v>83</v>
      </c>
      <c r="R2" s="33" t="s">
        <v>84</v>
      </c>
      <c r="S2" s="33" t="s">
        <v>85</v>
      </c>
    </row>
    <row r="3" ht="18.6" customHeight="1" spans="1:19">
      <c r="A3" s="39"/>
      <c r="B3" s="47" t="s">
        <v>86</v>
      </c>
      <c r="C3" s="47" t="s">
        <v>87</v>
      </c>
      <c r="D3" s="47" t="s">
        <v>68</v>
      </c>
      <c r="E3" s="48">
        <f>消纳率参数!K31</f>
        <v>0</v>
      </c>
      <c r="F3" s="49">
        <f>1-E3</f>
        <v>1</v>
      </c>
      <c r="G3" s="50" t="s">
        <v>167</v>
      </c>
      <c r="H3" s="50" t="s">
        <v>168</v>
      </c>
      <c r="I3" s="41"/>
      <c r="J3" s="58" t="s">
        <v>95</v>
      </c>
      <c r="K3" s="33"/>
      <c r="L3" s="36">
        <f>光伏发电衰减表min!L3</f>
        <v>1.4773</v>
      </c>
      <c r="M3" s="36">
        <f>光伏发电衰减表min!M3</f>
        <v>1.1872</v>
      </c>
      <c r="N3" s="36">
        <f>光伏发电衰减表min!N3</f>
        <v>0.7097</v>
      </c>
      <c r="O3" s="36" t="s">
        <v>96</v>
      </c>
      <c r="P3" s="33">
        <v>0</v>
      </c>
      <c r="Q3" s="33">
        <v>0</v>
      </c>
      <c r="R3" s="33">
        <v>0</v>
      </c>
      <c r="S3" s="33">
        <v>0</v>
      </c>
    </row>
    <row r="4" ht="18.6" customHeight="1" spans="1:19">
      <c r="A4" s="39"/>
      <c r="B4" s="47">
        <v>1</v>
      </c>
      <c r="C4" s="51">
        <v>0.99</v>
      </c>
      <c r="D4" s="52" t="e">
        <f t="shared" ref="D4:D33" si="0">$J$10*C4</f>
        <v>#REF!</v>
      </c>
      <c r="E4" s="53" t="e">
        <f>D4*E3</f>
        <v>#REF!</v>
      </c>
      <c r="F4" s="53" t="e">
        <f>D4*F3</f>
        <v>#REF!</v>
      </c>
      <c r="G4" s="54" t="e">
        <f>$J$12*C4*$E$3*$L$8*(1-$J$6)+$J$14*C4*$E$3*$L$17*(1-$J$6)</f>
        <v>#REF!</v>
      </c>
      <c r="H4" s="54" t="e">
        <f t="shared" ref="H4:H33" si="1">D4/12</f>
        <v>#REF!</v>
      </c>
      <c r="I4" s="57"/>
      <c r="J4" s="140">
        <v>0.453</v>
      </c>
      <c r="K4" s="141" t="s">
        <v>97</v>
      </c>
      <c r="L4" s="33" t="s">
        <v>78</v>
      </c>
      <c r="M4" s="33" t="s">
        <v>79</v>
      </c>
      <c r="N4" s="33" t="s">
        <v>80</v>
      </c>
      <c r="O4" s="33" t="s">
        <v>81</v>
      </c>
      <c r="P4" s="62"/>
      <c r="Q4" s="17"/>
      <c r="R4" s="17"/>
      <c r="S4" s="17"/>
    </row>
    <row r="5" ht="18.6" customHeight="1" spans="1:19">
      <c r="A5" s="39"/>
      <c r="B5" s="47">
        <v>2</v>
      </c>
      <c r="C5" s="51">
        <f t="shared" ref="C5:C33" si="2">C4-0.004</f>
        <v>0.986</v>
      </c>
      <c r="D5" s="52" t="e">
        <f t="shared" si="0"/>
        <v>#REF!</v>
      </c>
      <c r="E5" s="53" t="e">
        <f t="shared" ref="E5:E33" si="3">D5*$E$3</f>
        <v>#REF!</v>
      </c>
      <c r="F5" s="53" t="e">
        <f t="shared" ref="F5:F33" si="4">D5*$F$3</f>
        <v>#REF!</v>
      </c>
      <c r="G5" s="54" t="e">
        <f t="shared" ref="G5:G33" si="5">$J$12*C5*$E$3*$L$8*(1-$J$6)+$J$14*C5*$E$3*$L$17*(1-$J$6)</f>
        <v>#REF!</v>
      </c>
      <c r="H5" s="54" t="e">
        <f t="shared" si="1"/>
        <v>#REF!</v>
      </c>
      <c r="I5" s="57"/>
      <c r="J5" s="70" t="s">
        <v>169</v>
      </c>
      <c r="K5" s="76"/>
      <c r="L5" s="64">
        <f>L3+P3+S3</f>
        <v>1.4773</v>
      </c>
      <c r="M5" s="64">
        <f>M3+Q3+S3</f>
        <v>1.1872</v>
      </c>
      <c r="N5" s="64">
        <f>N3+R3+S3</f>
        <v>0.7097</v>
      </c>
      <c r="O5" s="64" t="s">
        <v>96</v>
      </c>
      <c r="P5" s="63"/>
      <c r="Q5" s="17"/>
      <c r="R5" s="17"/>
      <c r="S5" s="17"/>
    </row>
    <row r="6" ht="18.6" customHeight="1" spans="1:19">
      <c r="A6" s="39"/>
      <c r="B6" s="47">
        <v>3</v>
      </c>
      <c r="C6" s="51">
        <f t="shared" si="2"/>
        <v>0.982</v>
      </c>
      <c r="D6" s="52" t="e">
        <f t="shared" si="0"/>
        <v>#REF!</v>
      </c>
      <c r="E6" s="53" t="e">
        <f t="shared" si="3"/>
        <v>#REF!</v>
      </c>
      <c r="F6" s="53" t="e">
        <f t="shared" si="4"/>
        <v>#REF!</v>
      </c>
      <c r="G6" s="54" t="e">
        <f t="shared" si="5"/>
        <v>#REF!</v>
      </c>
      <c r="H6" s="54" t="e">
        <f t="shared" si="1"/>
        <v>#REF!</v>
      </c>
      <c r="I6" s="57"/>
      <c r="J6" s="142">
        <v>0.9</v>
      </c>
      <c r="K6" s="34"/>
      <c r="L6" s="33" t="s">
        <v>99</v>
      </c>
      <c r="M6" s="33" t="s">
        <v>99</v>
      </c>
      <c r="N6" s="33" t="s">
        <v>99</v>
      </c>
      <c r="O6" s="33" t="s">
        <v>99</v>
      </c>
      <c r="P6" s="33" t="s">
        <v>100</v>
      </c>
      <c r="Q6" s="17"/>
      <c r="R6" s="17"/>
      <c r="S6" s="17"/>
    </row>
    <row r="7" ht="18.6" customHeight="1" spans="1:19">
      <c r="A7" s="39"/>
      <c r="B7" s="47">
        <v>4</v>
      </c>
      <c r="C7" s="51">
        <f t="shared" si="2"/>
        <v>0.978</v>
      </c>
      <c r="D7" s="52" t="e">
        <f t="shared" si="0"/>
        <v>#REF!</v>
      </c>
      <c r="E7" s="53" t="e">
        <f t="shared" si="3"/>
        <v>#REF!</v>
      </c>
      <c r="F7" s="53" t="e">
        <f t="shared" si="4"/>
        <v>#REF!</v>
      </c>
      <c r="G7" s="54" t="e">
        <f t="shared" si="5"/>
        <v>#REF!</v>
      </c>
      <c r="H7" s="54" t="e">
        <f t="shared" si="1"/>
        <v>#REF!</v>
      </c>
      <c r="I7" s="57"/>
      <c r="J7" s="65" t="s">
        <v>101</v>
      </c>
      <c r="K7" s="34"/>
      <c r="L7" s="36">
        <v>0</v>
      </c>
      <c r="M7" s="36">
        <v>5</v>
      </c>
      <c r="N7" s="36">
        <v>4</v>
      </c>
      <c r="O7" s="36">
        <v>0</v>
      </c>
      <c r="P7" s="33">
        <v>9</v>
      </c>
      <c r="Q7" s="17"/>
      <c r="R7" s="17"/>
      <c r="S7" s="17"/>
    </row>
    <row r="8" ht="18.6" customHeight="1" spans="1:19">
      <c r="A8" s="39"/>
      <c r="B8" s="47">
        <v>5</v>
      </c>
      <c r="C8" s="51">
        <f t="shared" si="2"/>
        <v>0.974</v>
      </c>
      <c r="D8" s="52" t="e">
        <f t="shared" si="0"/>
        <v>#REF!</v>
      </c>
      <c r="E8" s="53" t="e">
        <f t="shared" si="3"/>
        <v>#REF!</v>
      </c>
      <c r="F8" s="53" t="e">
        <f t="shared" si="4"/>
        <v>#REF!</v>
      </c>
      <c r="G8" s="54" t="e">
        <f t="shared" si="5"/>
        <v>#REF!</v>
      </c>
      <c r="H8" s="54" t="e">
        <f t="shared" si="1"/>
        <v>#REF!</v>
      </c>
      <c r="I8" s="57"/>
      <c r="J8" s="66">
        <f>(L8*9+L17*3)/12</f>
        <v>0.999152777777778</v>
      </c>
      <c r="K8" s="34" t="s">
        <v>102</v>
      </c>
      <c r="L8" s="67">
        <f>(M5*M7+N5*N7)/P7</f>
        <v>0.974977777777778</v>
      </c>
      <c r="M8" s="68"/>
      <c r="N8" s="68"/>
      <c r="O8" s="68"/>
      <c r="P8" s="69"/>
      <c r="Q8" s="17"/>
      <c r="R8" s="17"/>
      <c r="S8" s="17"/>
    </row>
    <row r="9" ht="18.6" customHeight="1" spans="1:19">
      <c r="A9" s="39"/>
      <c r="B9" s="47">
        <v>6</v>
      </c>
      <c r="C9" s="51">
        <f t="shared" si="2"/>
        <v>0.97</v>
      </c>
      <c r="D9" s="52" t="e">
        <f t="shared" si="0"/>
        <v>#REF!</v>
      </c>
      <c r="E9" s="53" t="e">
        <f t="shared" si="3"/>
        <v>#REF!</v>
      </c>
      <c r="F9" s="53" t="e">
        <f t="shared" si="4"/>
        <v>#REF!</v>
      </c>
      <c r="G9" s="54" t="e">
        <f t="shared" si="5"/>
        <v>#REF!</v>
      </c>
      <c r="H9" s="54" t="e">
        <f t="shared" si="1"/>
        <v>#REF!</v>
      </c>
      <c r="I9" s="57"/>
      <c r="J9" s="70" t="s">
        <v>170</v>
      </c>
      <c r="K9" s="17"/>
      <c r="L9" s="17"/>
      <c r="M9" s="17"/>
      <c r="N9" s="17"/>
      <c r="O9" s="17"/>
      <c r="P9" s="17"/>
      <c r="Q9" s="17"/>
      <c r="R9" s="17"/>
      <c r="S9" s="17"/>
    </row>
    <row r="10" ht="18.6" customHeight="1" spans="1:19">
      <c r="A10" s="39"/>
      <c r="B10" s="47">
        <v>7</v>
      </c>
      <c r="C10" s="51">
        <f t="shared" si="2"/>
        <v>0.966</v>
      </c>
      <c r="D10" s="52" t="e">
        <f t="shared" si="0"/>
        <v>#REF!</v>
      </c>
      <c r="E10" s="53" t="e">
        <f t="shared" si="3"/>
        <v>#REF!</v>
      </c>
      <c r="F10" s="53" t="e">
        <f t="shared" si="4"/>
        <v>#REF!</v>
      </c>
      <c r="G10" s="54" t="e">
        <f t="shared" si="5"/>
        <v>#REF!</v>
      </c>
      <c r="H10" s="54" t="e">
        <f t="shared" si="1"/>
        <v>#REF!</v>
      </c>
      <c r="I10" s="57"/>
      <c r="J10" s="71" t="e">
        <f>J12+J14</f>
        <v>#REF!</v>
      </c>
      <c r="K10" s="72" t="s">
        <v>104</v>
      </c>
      <c r="L10" s="70"/>
      <c r="M10" s="70"/>
      <c r="N10" s="70"/>
      <c r="O10" s="70"/>
      <c r="P10" s="70"/>
      <c r="Q10" s="70"/>
      <c r="R10" s="70"/>
      <c r="S10" s="70"/>
    </row>
    <row r="11" ht="18.6" customHeight="1" spans="1:19">
      <c r="A11" s="39"/>
      <c r="B11" s="47">
        <v>8</v>
      </c>
      <c r="C11" s="51">
        <f t="shared" si="2"/>
        <v>0.962</v>
      </c>
      <c r="D11" s="52" t="e">
        <f t="shared" si="0"/>
        <v>#REF!</v>
      </c>
      <c r="E11" s="53" t="e">
        <f t="shared" si="3"/>
        <v>#REF!</v>
      </c>
      <c r="F11" s="53" t="e">
        <f t="shared" si="4"/>
        <v>#REF!</v>
      </c>
      <c r="G11" s="54" t="e">
        <f t="shared" si="5"/>
        <v>#REF!</v>
      </c>
      <c r="H11" s="54" t="e">
        <f t="shared" si="1"/>
        <v>#REF!</v>
      </c>
      <c r="I11" s="57"/>
      <c r="J11" s="70" t="s">
        <v>171</v>
      </c>
      <c r="K11" s="72" t="s">
        <v>77</v>
      </c>
      <c r="L11" s="70" t="s">
        <v>78</v>
      </c>
      <c r="M11" s="70" t="s">
        <v>79</v>
      </c>
      <c r="N11" s="70" t="s">
        <v>80</v>
      </c>
      <c r="O11" s="70" t="s">
        <v>81</v>
      </c>
      <c r="P11" s="70" t="s">
        <v>82</v>
      </c>
      <c r="Q11" s="70" t="s">
        <v>83</v>
      </c>
      <c r="R11" s="70" t="s">
        <v>84</v>
      </c>
      <c r="S11" s="70" t="s">
        <v>85</v>
      </c>
    </row>
    <row r="12" ht="18.6" customHeight="1" spans="1:19">
      <c r="A12" s="39"/>
      <c r="B12" s="47">
        <v>9</v>
      </c>
      <c r="C12" s="51">
        <f t="shared" si="2"/>
        <v>0.958</v>
      </c>
      <c r="D12" s="52" t="e">
        <f t="shared" si="0"/>
        <v>#REF!</v>
      </c>
      <c r="E12" s="53" t="e">
        <f t="shared" si="3"/>
        <v>#REF!</v>
      </c>
      <c r="F12" s="53" t="e">
        <f t="shared" si="4"/>
        <v>#REF!</v>
      </c>
      <c r="G12" s="54" t="e">
        <f t="shared" si="5"/>
        <v>#REF!</v>
      </c>
      <c r="H12" s="54" t="e">
        <f t="shared" si="1"/>
        <v>#REF!</v>
      </c>
      <c r="I12" s="57"/>
      <c r="J12" s="71" t="e">
        <f>M21+M22+M23+M24+M25+M26+M30+M31+M32</f>
        <v>#REF!</v>
      </c>
      <c r="K12" s="72"/>
      <c r="L12" s="73">
        <f t="shared" ref="L12:O12" si="6">L3</f>
        <v>1.4773</v>
      </c>
      <c r="M12" s="73">
        <f t="shared" si="6"/>
        <v>1.1872</v>
      </c>
      <c r="N12" s="73">
        <f t="shared" si="6"/>
        <v>0.7097</v>
      </c>
      <c r="O12" s="73" t="str">
        <f t="shared" si="6"/>
        <v>忽略</v>
      </c>
      <c r="P12" s="70">
        <v>0</v>
      </c>
      <c r="Q12" s="70">
        <v>0</v>
      </c>
      <c r="R12" s="70">
        <v>0</v>
      </c>
      <c r="S12" s="70">
        <v>0</v>
      </c>
    </row>
    <row r="13" ht="18.6" customHeight="1" spans="1:19">
      <c r="A13" s="39"/>
      <c r="B13" s="47">
        <v>10</v>
      </c>
      <c r="C13" s="51">
        <f t="shared" si="2"/>
        <v>0.954</v>
      </c>
      <c r="D13" s="52" t="e">
        <f t="shared" si="0"/>
        <v>#REF!</v>
      </c>
      <c r="E13" s="53" t="e">
        <f t="shared" si="3"/>
        <v>#REF!</v>
      </c>
      <c r="F13" s="53" t="e">
        <f t="shared" si="4"/>
        <v>#REF!</v>
      </c>
      <c r="G13" s="54" t="e">
        <f t="shared" si="5"/>
        <v>#REF!</v>
      </c>
      <c r="H13" s="54" t="e">
        <f t="shared" si="1"/>
        <v>#REF!</v>
      </c>
      <c r="I13" s="57"/>
      <c r="J13" s="70" t="s">
        <v>106</v>
      </c>
      <c r="K13" s="74" t="s">
        <v>97</v>
      </c>
      <c r="L13" s="63" t="s">
        <v>78</v>
      </c>
      <c r="M13" s="63" t="s">
        <v>79</v>
      </c>
      <c r="N13" s="63" t="s">
        <v>80</v>
      </c>
      <c r="O13" s="63" t="s">
        <v>81</v>
      </c>
      <c r="P13" s="75"/>
      <c r="Q13" s="39"/>
      <c r="R13" s="39"/>
      <c r="S13" s="39"/>
    </row>
    <row r="14" ht="18.6" customHeight="1" spans="1:19">
      <c r="A14" s="39"/>
      <c r="B14" s="47">
        <v>11</v>
      </c>
      <c r="C14" s="51">
        <f t="shared" si="2"/>
        <v>0.95</v>
      </c>
      <c r="D14" s="52" t="e">
        <f t="shared" si="0"/>
        <v>#REF!</v>
      </c>
      <c r="E14" s="53" t="e">
        <f t="shared" si="3"/>
        <v>#REF!</v>
      </c>
      <c r="F14" s="53" t="e">
        <f t="shared" si="4"/>
        <v>#REF!</v>
      </c>
      <c r="G14" s="54" t="e">
        <f t="shared" si="5"/>
        <v>#REF!</v>
      </c>
      <c r="H14" s="54" t="e">
        <f t="shared" si="1"/>
        <v>#REF!</v>
      </c>
      <c r="I14" s="57"/>
      <c r="J14" s="71" t="e">
        <f>M27+M28+M29</f>
        <v>#REF!</v>
      </c>
      <c r="K14" s="76"/>
      <c r="L14" s="64">
        <f>L12+P12+S12</f>
        <v>1.4773</v>
      </c>
      <c r="M14" s="64">
        <f>M12+Q12+S12</f>
        <v>1.1872</v>
      </c>
      <c r="N14" s="64">
        <f>N12+R12+S12</f>
        <v>0.7097</v>
      </c>
      <c r="O14" s="64" t="s">
        <v>96</v>
      </c>
      <c r="P14" s="77"/>
      <c r="Q14" s="39"/>
      <c r="R14" s="39"/>
      <c r="S14" s="39"/>
    </row>
    <row r="15" ht="18.6" customHeight="1" spans="1:19">
      <c r="A15" s="39"/>
      <c r="B15" s="47">
        <v>12</v>
      </c>
      <c r="C15" s="51">
        <f t="shared" si="2"/>
        <v>0.946</v>
      </c>
      <c r="D15" s="52" t="e">
        <f t="shared" si="0"/>
        <v>#REF!</v>
      </c>
      <c r="E15" s="53" t="e">
        <f t="shared" si="3"/>
        <v>#REF!</v>
      </c>
      <c r="F15" s="53" t="e">
        <f t="shared" si="4"/>
        <v>#REF!</v>
      </c>
      <c r="G15" s="54" t="e">
        <f t="shared" si="5"/>
        <v>#REF!</v>
      </c>
      <c r="H15" s="54" t="e">
        <f t="shared" si="1"/>
        <v>#REF!</v>
      </c>
      <c r="I15" s="57"/>
      <c r="J15" s="39"/>
      <c r="K15" s="33"/>
      <c r="L15" s="33" t="s">
        <v>99</v>
      </c>
      <c r="M15" s="33" t="s">
        <v>99</v>
      </c>
      <c r="N15" s="33" t="s">
        <v>99</v>
      </c>
      <c r="O15" s="33" t="s">
        <v>99</v>
      </c>
      <c r="P15" s="33" t="s">
        <v>100</v>
      </c>
      <c r="Q15" s="39"/>
      <c r="R15" s="39"/>
      <c r="S15" s="39"/>
    </row>
    <row r="16" ht="18.6" customHeight="1" spans="1:19">
      <c r="A16" s="39"/>
      <c r="B16" s="47">
        <v>13</v>
      </c>
      <c r="C16" s="51">
        <f t="shared" si="2"/>
        <v>0.942</v>
      </c>
      <c r="D16" s="52" t="e">
        <f t="shared" si="0"/>
        <v>#REF!</v>
      </c>
      <c r="E16" s="53" t="e">
        <f t="shared" si="3"/>
        <v>#REF!</v>
      </c>
      <c r="F16" s="53" t="e">
        <f t="shared" si="4"/>
        <v>#REF!</v>
      </c>
      <c r="G16" s="54" t="e">
        <f t="shared" si="5"/>
        <v>#REF!</v>
      </c>
      <c r="H16" s="54" t="e">
        <f t="shared" si="1"/>
        <v>#REF!</v>
      </c>
      <c r="I16" s="57"/>
      <c r="J16" s="39"/>
      <c r="K16" s="33"/>
      <c r="L16" s="36">
        <v>3</v>
      </c>
      <c r="M16" s="36">
        <v>2</v>
      </c>
      <c r="N16" s="36">
        <v>4</v>
      </c>
      <c r="O16" s="36">
        <v>0</v>
      </c>
      <c r="P16" s="33">
        <v>9</v>
      </c>
      <c r="Q16" s="39"/>
      <c r="R16" s="39"/>
      <c r="S16" s="39"/>
    </row>
    <row r="17" ht="18.6" customHeight="1" spans="1:19">
      <c r="A17" s="39"/>
      <c r="B17" s="47">
        <v>14</v>
      </c>
      <c r="C17" s="51">
        <f t="shared" si="2"/>
        <v>0.938</v>
      </c>
      <c r="D17" s="52" t="e">
        <f t="shared" si="0"/>
        <v>#REF!</v>
      </c>
      <c r="E17" s="53" t="e">
        <f t="shared" si="3"/>
        <v>#REF!</v>
      </c>
      <c r="F17" s="53" t="e">
        <f t="shared" si="4"/>
        <v>#REF!</v>
      </c>
      <c r="G17" s="54" t="e">
        <f t="shared" si="5"/>
        <v>#REF!</v>
      </c>
      <c r="H17" s="54" t="e">
        <f t="shared" si="1"/>
        <v>#REF!</v>
      </c>
      <c r="I17" s="78"/>
      <c r="J17" s="39"/>
      <c r="K17" s="33" t="s">
        <v>102</v>
      </c>
      <c r="L17" s="67">
        <f>(L14*L16+M14*M16+N14*N16)/P16</f>
        <v>1.07167777777778</v>
      </c>
      <c r="M17" s="68"/>
      <c r="N17" s="68"/>
      <c r="O17" s="68"/>
      <c r="P17" s="69"/>
      <c r="Q17" s="39"/>
      <c r="R17" s="39"/>
      <c r="S17" s="39"/>
    </row>
    <row r="18" ht="18.6" customHeight="1" spans="1:19">
      <c r="A18" s="39"/>
      <c r="B18" s="47">
        <v>15</v>
      </c>
      <c r="C18" s="51">
        <f t="shared" si="2"/>
        <v>0.934</v>
      </c>
      <c r="D18" s="52" t="e">
        <f t="shared" si="0"/>
        <v>#REF!</v>
      </c>
      <c r="E18" s="53" t="e">
        <f t="shared" si="3"/>
        <v>#REF!</v>
      </c>
      <c r="F18" s="53" t="e">
        <f t="shared" si="4"/>
        <v>#REF!</v>
      </c>
      <c r="G18" s="54" t="e">
        <f t="shared" si="5"/>
        <v>#REF!</v>
      </c>
      <c r="H18" s="54" t="e">
        <f t="shared" si="1"/>
        <v>#REF!</v>
      </c>
      <c r="I18" s="78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ht="18.6" customHeight="1" spans="1:19">
      <c r="A19" s="39"/>
      <c r="B19" s="47">
        <v>16</v>
      </c>
      <c r="C19" s="51">
        <f t="shared" si="2"/>
        <v>0.93</v>
      </c>
      <c r="D19" s="52" t="e">
        <f t="shared" si="0"/>
        <v>#REF!</v>
      </c>
      <c r="E19" s="53" t="e">
        <f t="shared" si="3"/>
        <v>#REF!</v>
      </c>
      <c r="F19" s="53" t="e">
        <f t="shared" si="4"/>
        <v>#REF!</v>
      </c>
      <c r="G19" s="54" t="e">
        <f t="shared" si="5"/>
        <v>#REF!</v>
      </c>
      <c r="H19" s="54" t="e">
        <f t="shared" si="1"/>
        <v>#REF!</v>
      </c>
      <c r="I19" s="78"/>
      <c r="J19" s="39"/>
      <c r="K19" s="79" t="s">
        <v>172</v>
      </c>
      <c r="L19" s="80"/>
      <c r="M19" s="80"/>
      <c r="N19" s="34"/>
      <c r="O19" s="39"/>
      <c r="P19" s="39"/>
      <c r="Q19" s="39"/>
      <c r="R19" s="39"/>
      <c r="S19" s="39"/>
    </row>
    <row r="20" ht="18.6" customHeight="1" spans="1:19">
      <c r="A20" s="39"/>
      <c r="B20" s="47">
        <v>17</v>
      </c>
      <c r="C20" s="51">
        <f t="shared" si="2"/>
        <v>0.926</v>
      </c>
      <c r="D20" s="52" t="e">
        <f t="shared" si="0"/>
        <v>#REF!</v>
      </c>
      <c r="E20" s="53" t="e">
        <f t="shared" si="3"/>
        <v>#REF!</v>
      </c>
      <c r="F20" s="53" t="e">
        <f t="shared" si="4"/>
        <v>#REF!</v>
      </c>
      <c r="G20" s="54" t="e">
        <f t="shared" si="5"/>
        <v>#REF!</v>
      </c>
      <c r="H20" s="54" t="e">
        <f t="shared" si="1"/>
        <v>#REF!</v>
      </c>
      <c r="I20" s="78"/>
      <c r="J20" s="39"/>
      <c r="K20" s="79" t="s">
        <v>32</v>
      </c>
      <c r="L20" s="34"/>
      <c r="M20" s="79" t="s">
        <v>108</v>
      </c>
      <c r="N20" s="34"/>
      <c r="O20" s="39"/>
      <c r="P20" s="39"/>
      <c r="Q20" s="39"/>
      <c r="R20" s="39"/>
      <c r="S20" s="39"/>
    </row>
    <row r="21" ht="18.6" customHeight="1" spans="1:19">
      <c r="A21" s="39"/>
      <c r="B21" s="47">
        <v>18</v>
      </c>
      <c r="C21" s="51">
        <f t="shared" si="2"/>
        <v>0.922</v>
      </c>
      <c r="D21" s="52" t="e">
        <f t="shared" si="0"/>
        <v>#REF!</v>
      </c>
      <c r="E21" s="53" t="e">
        <f t="shared" si="3"/>
        <v>#REF!</v>
      </c>
      <c r="F21" s="53" t="e">
        <f t="shared" si="4"/>
        <v>#REF!</v>
      </c>
      <c r="G21" s="54" t="e">
        <f t="shared" si="5"/>
        <v>#REF!</v>
      </c>
      <c r="H21" s="54" t="e">
        <f t="shared" si="1"/>
        <v>#REF!</v>
      </c>
      <c r="I21" s="78"/>
      <c r="J21" s="39"/>
      <c r="K21" s="33" t="s">
        <v>39</v>
      </c>
      <c r="L21" s="33"/>
      <c r="M21" s="81" t="e">
        <f>基础数据!#REF!</f>
        <v>#REF!</v>
      </c>
      <c r="N21" s="81"/>
      <c r="O21" s="39"/>
      <c r="P21" s="39"/>
      <c r="Q21" s="39"/>
      <c r="R21" s="39"/>
      <c r="S21" s="39"/>
    </row>
    <row r="22" ht="18.6" customHeight="1" spans="1:19">
      <c r="A22" s="39"/>
      <c r="B22" s="47">
        <v>19</v>
      </c>
      <c r="C22" s="51">
        <f t="shared" si="2"/>
        <v>0.918</v>
      </c>
      <c r="D22" s="52" t="e">
        <f t="shared" si="0"/>
        <v>#REF!</v>
      </c>
      <c r="E22" s="53" t="e">
        <f t="shared" si="3"/>
        <v>#REF!</v>
      </c>
      <c r="F22" s="53" t="e">
        <f t="shared" si="4"/>
        <v>#REF!</v>
      </c>
      <c r="G22" s="54" t="e">
        <f t="shared" si="5"/>
        <v>#REF!</v>
      </c>
      <c r="H22" s="54" t="e">
        <f t="shared" si="1"/>
        <v>#REF!</v>
      </c>
      <c r="I22" s="78"/>
      <c r="J22" s="39"/>
      <c r="K22" s="33" t="s">
        <v>40</v>
      </c>
      <c r="L22" s="33"/>
      <c r="M22" s="81" t="e">
        <f>基础数据!#REF!</f>
        <v>#REF!</v>
      </c>
      <c r="N22" s="81"/>
      <c r="O22" s="39"/>
      <c r="P22" s="39"/>
      <c r="Q22" s="39"/>
      <c r="R22" s="39"/>
      <c r="S22" s="39"/>
    </row>
    <row r="23" ht="18.6" customHeight="1" spans="1:19">
      <c r="A23" s="39"/>
      <c r="B23" s="47">
        <v>20</v>
      </c>
      <c r="C23" s="51">
        <f t="shared" si="2"/>
        <v>0.914</v>
      </c>
      <c r="D23" s="52" t="e">
        <f t="shared" si="0"/>
        <v>#REF!</v>
      </c>
      <c r="E23" s="53" t="e">
        <f t="shared" si="3"/>
        <v>#REF!</v>
      </c>
      <c r="F23" s="53" t="e">
        <f t="shared" si="4"/>
        <v>#REF!</v>
      </c>
      <c r="G23" s="54" t="e">
        <f t="shared" si="5"/>
        <v>#REF!</v>
      </c>
      <c r="H23" s="54" t="e">
        <f t="shared" si="1"/>
        <v>#REF!</v>
      </c>
      <c r="I23" s="78"/>
      <c r="J23" s="39"/>
      <c r="K23" s="33" t="s">
        <v>41</v>
      </c>
      <c r="L23" s="33"/>
      <c r="M23" s="81" t="e">
        <f>基础数据!#REF!</f>
        <v>#REF!</v>
      </c>
      <c r="N23" s="81"/>
      <c r="O23" s="39"/>
      <c r="P23" s="39"/>
      <c r="Q23" s="39"/>
      <c r="R23" s="39"/>
      <c r="S23" s="39"/>
    </row>
    <row r="24" ht="18.6" customHeight="1" spans="1:19">
      <c r="A24" s="39"/>
      <c r="B24" s="47">
        <v>21</v>
      </c>
      <c r="C24" s="51">
        <f t="shared" si="2"/>
        <v>0.91</v>
      </c>
      <c r="D24" s="52" t="e">
        <f t="shared" si="0"/>
        <v>#REF!</v>
      </c>
      <c r="E24" s="53" t="e">
        <f t="shared" si="3"/>
        <v>#REF!</v>
      </c>
      <c r="F24" s="53" t="e">
        <f t="shared" si="4"/>
        <v>#REF!</v>
      </c>
      <c r="G24" s="54" t="e">
        <f t="shared" si="5"/>
        <v>#REF!</v>
      </c>
      <c r="H24" s="54" t="e">
        <f t="shared" si="1"/>
        <v>#REF!</v>
      </c>
      <c r="I24" s="78"/>
      <c r="J24" s="39"/>
      <c r="K24" s="33" t="s">
        <v>42</v>
      </c>
      <c r="L24" s="33"/>
      <c r="M24" s="81" t="e">
        <f>基础数据!#REF!</f>
        <v>#REF!</v>
      </c>
      <c r="N24" s="81"/>
      <c r="O24" s="39"/>
      <c r="P24" s="39"/>
      <c r="Q24" s="39"/>
      <c r="R24" s="39"/>
      <c r="S24" s="39"/>
    </row>
    <row r="25" ht="18.6" customHeight="1" spans="1:19">
      <c r="A25" s="39"/>
      <c r="B25" s="47">
        <v>22</v>
      </c>
      <c r="C25" s="51">
        <f t="shared" si="2"/>
        <v>0.906</v>
      </c>
      <c r="D25" s="52" t="e">
        <f t="shared" si="0"/>
        <v>#REF!</v>
      </c>
      <c r="E25" s="53" t="e">
        <f t="shared" si="3"/>
        <v>#REF!</v>
      </c>
      <c r="F25" s="53" t="e">
        <f t="shared" si="4"/>
        <v>#REF!</v>
      </c>
      <c r="G25" s="54" t="e">
        <f t="shared" si="5"/>
        <v>#REF!</v>
      </c>
      <c r="H25" s="54" t="e">
        <f t="shared" si="1"/>
        <v>#REF!</v>
      </c>
      <c r="I25" s="57"/>
      <c r="J25" s="39"/>
      <c r="K25" s="33" t="s">
        <v>43</v>
      </c>
      <c r="L25" s="33"/>
      <c r="M25" s="81" t="e">
        <f>基础数据!#REF!</f>
        <v>#REF!</v>
      </c>
      <c r="N25" s="81"/>
      <c r="O25" s="39"/>
      <c r="P25" s="39"/>
      <c r="Q25" s="39"/>
      <c r="R25" s="39"/>
      <c r="S25" s="39"/>
    </row>
    <row r="26" ht="18.6" customHeight="1" spans="1:19">
      <c r="A26" s="39"/>
      <c r="B26" s="47">
        <v>23</v>
      </c>
      <c r="C26" s="51">
        <f t="shared" si="2"/>
        <v>0.902</v>
      </c>
      <c r="D26" s="52" t="e">
        <f t="shared" si="0"/>
        <v>#REF!</v>
      </c>
      <c r="E26" s="53" t="e">
        <f t="shared" si="3"/>
        <v>#REF!</v>
      </c>
      <c r="F26" s="53" t="e">
        <f t="shared" si="4"/>
        <v>#REF!</v>
      </c>
      <c r="G26" s="54" t="e">
        <f t="shared" si="5"/>
        <v>#REF!</v>
      </c>
      <c r="H26" s="54" t="e">
        <f t="shared" si="1"/>
        <v>#REF!</v>
      </c>
      <c r="I26" s="57"/>
      <c r="J26" s="39"/>
      <c r="K26" s="33" t="s">
        <v>44</v>
      </c>
      <c r="L26" s="33"/>
      <c r="M26" s="81" t="e">
        <f>基础数据!#REF!</f>
        <v>#REF!</v>
      </c>
      <c r="N26" s="81"/>
      <c r="O26" s="39"/>
      <c r="P26" s="39"/>
      <c r="Q26" s="39"/>
      <c r="R26" s="39"/>
      <c r="S26" s="39"/>
    </row>
    <row r="27" ht="18.6" customHeight="1" spans="1:19">
      <c r="A27" s="39"/>
      <c r="B27" s="47">
        <v>24</v>
      </c>
      <c r="C27" s="51">
        <f t="shared" si="2"/>
        <v>0.898</v>
      </c>
      <c r="D27" s="52" t="e">
        <f t="shared" si="0"/>
        <v>#REF!</v>
      </c>
      <c r="E27" s="53" t="e">
        <f t="shared" si="3"/>
        <v>#REF!</v>
      </c>
      <c r="F27" s="53" t="e">
        <f t="shared" si="4"/>
        <v>#REF!</v>
      </c>
      <c r="G27" s="54" t="e">
        <f t="shared" si="5"/>
        <v>#REF!</v>
      </c>
      <c r="H27" s="54" t="e">
        <f t="shared" si="1"/>
        <v>#REF!</v>
      </c>
      <c r="I27" s="57"/>
      <c r="J27" s="39"/>
      <c r="K27" s="33" t="s">
        <v>45</v>
      </c>
      <c r="L27" s="33"/>
      <c r="M27" s="81" t="e">
        <f>基础数据!#REF!</f>
        <v>#REF!</v>
      </c>
      <c r="N27" s="81"/>
      <c r="O27" s="39"/>
      <c r="P27" s="39"/>
      <c r="Q27" s="39"/>
      <c r="R27" s="39"/>
      <c r="S27" s="39"/>
    </row>
    <row r="28" ht="18.6" customHeight="1" spans="1:19">
      <c r="A28" s="39"/>
      <c r="B28" s="47">
        <v>25</v>
      </c>
      <c r="C28" s="51">
        <f t="shared" si="2"/>
        <v>0.894</v>
      </c>
      <c r="D28" s="52" t="e">
        <f t="shared" si="0"/>
        <v>#REF!</v>
      </c>
      <c r="E28" s="53" t="e">
        <f t="shared" si="3"/>
        <v>#REF!</v>
      </c>
      <c r="F28" s="53" t="e">
        <f t="shared" si="4"/>
        <v>#REF!</v>
      </c>
      <c r="G28" s="54" t="e">
        <f t="shared" si="5"/>
        <v>#REF!</v>
      </c>
      <c r="H28" s="54" t="e">
        <f t="shared" si="1"/>
        <v>#REF!</v>
      </c>
      <c r="I28" s="57"/>
      <c r="J28" s="39"/>
      <c r="K28" s="33" t="s">
        <v>46</v>
      </c>
      <c r="L28" s="33"/>
      <c r="M28" s="81" t="e">
        <f>基础数据!#REF!</f>
        <v>#REF!</v>
      </c>
      <c r="N28" s="81"/>
      <c r="O28" s="39"/>
      <c r="P28" s="39"/>
      <c r="Q28" s="39"/>
      <c r="R28" s="39"/>
      <c r="S28" s="39"/>
    </row>
    <row r="29" ht="18.6" customHeight="1" spans="1:19">
      <c r="A29" s="39"/>
      <c r="B29" s="47">
        <v>26</v>
      </c>
      <c r="C29" s="51">
        <f t="shared" si="2"/>
        <v>0.89</v>
      </c>
      <c r="D29" s="52" t="e">
        <f t="shared" si="0"/>
        <v>#REF!</v>
      </c>
      <c r="E29" s="53" t="e">
        <f t="shared" si="3"/>
        <v>#REF!</v>
      </c>
      <c r="F29" s="53" t="e">
        <f t="shared" si="4"/>
        <v>#REF!</v>
      </c>
      <c r="G29" s="54" t="e">
        <f t="shared" si="5"/>
        <v>#REF!</v>
      </c>
      <c r="H29" s="54" t="e">
        <f t="shared" si="1"/>
        <v>#REF!</v>
      </c>
      <c r="J29" s="39"/>
      <c r="K29" s="33" t="s">
        <v>47</v>
      </c>
      <c r="L29" s="33"/>
      <c r="M29" s="81" t="e">
        <f>基础数据!#REF!</f>
        <v>#REF!</v>
      </c>
      <c r="N29" s="81"/>
      <c r="O29" s="39"/>
      <c r="P29" s="39"/>
      <c r="Q29" s="39"/>
      <c r="R29" s="39"/>
      <c r="S29" s="39"/>
    </row>
    <row r="30" ht="18.6" customHeight="1" spans="1:19">
      <c r="A30" s="39"/>
      <c r="B30" s="47">
        <v>27</v>
      </c>
      <c r="C30" s="51">
        <f t="shared" si="2"/>
        <v>0.886</v>
      </c>
      <c r="D30" s="52" t="e">
        <f t="shared" si="0"/>
        <v>#REF!</v>
      </c>
      <c r="E30" s="53" t="e">
        <f t="shared" si="3"/>
        <v>#REF!</v>
      </c>
      <c r="F30" s="53" t="e">
        <f t="shared" si="4"/>
        <v>#REF!</v>
      </c>
      <c r="G30" s="54" t="e">
        <f t="shared" si="5"/>
        <v>#REF!</v>
      </c>
      <c r="H30" s="54" t="e">
        <f t="shared" si="1"/>
        <v>#REF!</v>
      </c>
      <c r="J30" s="39"/>
      <c r="K30" s="33" t="s">
        <v>48</v>
      </c>
      <c r="L30" s="33"/>
      <c r="M30" s="81" t="e">
        <f>基础数据!#REF!</f>
        <v>#REF!</v>
      </c>
      <c r="N30" s="81"/>
      <c r="O30" s="39"/>
      <c r="P30" s="39"/>
      <c r="Q30" s="39"/>
      <c r="R30" s="39"/>
      <c r="S30" s="39"/>
    </row>
    <row r="31" ht="18.6" customHeight="1" spans="1:19">
      <c r="A31" s="39"/>
      <c r="B31" s="47">
        <v>28</v>
      </c>
      <c r="C31" s="51">
        <f t="shared" si="2"/>
        <v>0.882</v>
      </c>
      <c r="D31" s="52" t="e">
        <f t="shared" si="0"/>
        <v>#REF!</v>
      </c>
      <c r="E31" s="53" t="e">
        <f t="shared" si="3"/>
        <v>#REF!</v>
      </c>
      <c r="F31" s="53" t="e">
        <f t="shared" si="4"/>
        <v>#REF!</v>
      </c>
      <c r="G31" s="54" t="e">
        <f t="shared" si="5"/>
        <v>#REF!</v>
      </c>
      <c r="H31" s="54" t="e">
        <f t="shared" si="1"/>
        <v>#REF!</v>
      </c>
      <c r="J31" s="39"/>
      <c r="K31" s="33" t="s">
        <v>49</v>
      </c>
      <c r="L31" s="33"/>
      <c r="M31" s="81" t="e">
        <f>基础数据!#REF!</f>
        <v>#REF!</v>
      </c>
      <c r="N31" s="81"/>
      <c r="O31" s="39"/>
      <c r="P31" s="39"/>
      <c r="Q31" s="39"/>
      <c r="R31" s="39"/>
      <c r="S31" s="39"/>
    </row>
    <row r="32" ht="18.6" customHeight="1" spans="1:19">
      <c r="A32" s="39"/>
      <c r="B32" s="47">
        <v>29</v>
      </c>
      <c r="C32" s="51">
        <f t="shared" si="2"/>
        <v>0.878</v>
      </c>
      <c r="D32" s="52" t="e">
        <f t="shared" si="0"/>
        <v>#REF!</v>
      </c>
      <c r="E32" s="53" t="e">
        <f t="shared" si="3"/>
        <v>#REF!</v>
      </c>
      <c r="F32" s="53" t="e">
        <f t="shared" si="4"/>
        <v>#REF!</v>
      </c>
      <c r="G32" s="54" t="e">
        <f t="shared" si="5"/>
        <v>#REF!</v>
      </c>
      <c r="H32" s="54" t="e">
        <f t="shared" si="1"/>
        <v>#REF!</v>
      </c>
      <c r="J32" s="39"/>
      <c r="K32" s="33" t="s">
        <v>50</v>
      </c>
      <c r="L32" s="33"/>
      <c r="M32" s="81" t="e">
        <f>基础数据!#REF!</f>
        <v>#REF!</v>
      </c>
      <c r="N32" s="81"/>
      <c r="O32" s="39"/>
      <c r="P32" s="39"/>
      <c r="Q32" s="39"/>
      <c r="R32" s="39"/>
      <c r="S32" s="39"/>
    </row>
    <row r="33" ht="18.6" customHeight="1" spans="1:19">
      <c r="A33" s="39"/>
      <c r="B33" s="47">
        <v>30</v>
      </c>
      <c r="C33" s="51">
        <f t="shared" si="2"/>
        <v>0.874</v>
      </c>
      <c r="D33" s="52" t="e">
        <f t="shared" si="0"/>
        <v>#REF!</v>
      </c>
      <c r="E33" s="53" t="e">
        <f t="shared" si="3"/>
        <v>#REF!</v>
      </c>
      <c r="F33" s="53" t="e">
        <f t="shared" si="4"/>
        <v>#REF!</v>
      </c>
      <c r="G33" s="54" t="e">
        <f t="shared" si="5"/>
        <v>#REF!</v>
      </c>
      <c r="H33" s="54" t="e">
        <f t="shared" si="1"/>
        <v>#REF!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ht="18.6" customHeight="1" spans="1:8">
      <c r="A34" s="39"/>
      <c r="B34" s="55" t="s">
        <v>52</v>
      </c>
      <c r="C34" s="55"/>
      <c r="D34" s="56" t="e">
        <f t="shared" ref="D34:G34" si="7">SUM(D4:D33)</f>
        <v>#REF!</v>
      </c>
      <c r="E34" s="56" t="e">
        <f t="shared" si="7"/>
        <v>#REF!</v>
      </c>
      <c r="F34" s="56" t="e">
        <f t="shared" si="7"/>
        <v>#REF!</v>
      </c>
      <c r="G34" s="56" t="e">
        <f t="shared" si="7"/>
        <v>#REF!</v>
      </c>
      <c r="H34" s="46"/>
    </row>
    <row r="35" ht="18.6" customHeight="1" spans="1:8">
      <c r="A35" s="39" t="s">
        <v>109</v>
      </c>
      <c r="B35" s="46"/>
      <c r="C35" s="46"/>
      <c r="D35" s="46"/>
      <c r="E35" s="46"/>
      <c r="F35" s="46"/>
      <c r="G35" s="46"/>
      <c r="H35" s="46"/>
    </row>
    <row r="36" ht="22.5" customHeight="1" spans="4:4">
      <c r="D36" s="57"/>
    </row>
    <row r="37" ht="22.5" customHeight="1"/>
  </sheetData>
  <mergeCells count="38">
    <mergeCell ref="K1:S1"/>
    <mergeCell ref="B2:D2"/>
    <mergeCell ref="L8:P8"/>
    <mergeCell ref="K10:S10"/>
    <mergeCell ref="L17:P17"/>
    <mergeCell ref="K19:N19"/>
    <mergeCell ref="K20:L20"/>
    <mergeCell ref="M20:N20"/>
    <mergeCell ref="K21:L21"/>
    <mergeCell ref="M21:N21"/>
    <mergeCell ref="K22:L22"/>
    <mergeCell ref="M22:N22"/>
    <mergeCell ref="K23:L23"/>
    <mergeCell ref="M23:N23"/>
    <mergeCell ref="K24:L24"/>
    <mergeCell ref="M24:N24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K30:L30"/>
    <mergeCell ref="M30:N30"/>
    <mergeCell ref="K31:L31"/>
    <mergeCell ref="M31:N31"/>
    <mergeCell ref="K32:L32"/>
    <mergeCell ref="M32:N32"/>
    <mergeCell ref="B34:C34"/>
    <mergeCell ref="K2:K3"/>
    <mergeCell ref="K4:K5"/>
    <mergeCell ref="K11:K12"/>
    <mergeCell ref="K13:K14"/>
    <mergeCell ref="P4:P5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85" zoomScaleNormal="85" workbookViewId="0">
      <selection activeCell="E4" sqref="E4"/>
    </sheetView>
  </sheetViews>
  <sheetFormatPr defaultColWidth="9" defaultRowHeight="14.25"/>
  <cols>
    <col min="2" max="2" width="6.375" customWidth="1"/>
    <col min="3" max="3" width="15.5" customWidth="1"/>
    <col min="4" max="4" width="13" style="41" customWidth="1"/>
    <col min="5" max="5" width="12.125" style="41" customWidth="1"/>
    <col min="6" max="6" width="11.375" style="41" customWidth="1"/>
    <col min="7" max="7" width="14.625" customWidth="1"/>
    <col min="8" max="8" width="19" customWidth="1"/>
    <col min="9" max="9" width="20.625" customWidth="1"/>
    <col min="10" max="10" width="31.875" customWidth="1"/>
    <col min="11" max="11" width="16.125" customWidth="1"/>
    <col min="12" max="15" width="9.5" customWidth="1"/>
    <col min="16" max="19" width="16" customWidth="1"/>
  </cols>
  <sheetData>
    <row r="1" ht="17.25" spans="10:19">
      <c r="J1" s="17"/>
      <c r="K1" s="33" t="s">
        <v>73</v>
      </c>
      <c r="L1" s="33"/>
      <c r="M1" s="33"/>
      <c r="N1" s="33"/>
      <c r="O1" s="33"/>
      <c r="P1" s="33"/>
      <c r="Q1" s="33"/>
      <c r="R1" s="33"/>
      <c r="S1" s="33"/>
    </row>
    <row r="2" ht="18.6" customHeight="1" spans="1:19">
      <c r="A2" s="39"/>
      <c r="B2" s="42" t="s">
        <v>173</v>
      </c>
      <c r="C2" s="43"/>
      <c r="D2" s="43"/>
      <c r="E2" s="44" t="s">
        <v>166</v>
      </c>
      <c r="F2" s="44" t="s">
        <v>76</v>
      </c>
      <c r="G2" s="45"/>
      <c r="H2" s="46"/>
      <c r="J2" s="17"/>
      <c r="K2" s="33" t="s">
        <v>77</v>
      </c>
      <c r="L2" s="33" t="s">
        <v>78</v>
      </c>
      <c r="M2" s="33" t="s">
        <v>79</v>
      </c>
      <c r="N2" s="33" t="s">
        <v>80</v>
      </c>
      <c r="O2" s="33" t="s">
        <v>81</v>
      </c>
      <c r="P2" s="33" t="s">
        <v>82</v>
      </c>
      <c r="Q2" s="33" t="s">
        <v>83</v>
      </c>
      <c r="R2" s="33" t="s">
        <v>84</v>
      </c>
      <c r="S2" s="33" t="s">
        <v>85</v>
      </c>
    </row>
    <row r="3" ht="18.6" customHeight="1" spans="1:19">
      <c r="A3" s="39"/>
      <c r="B3" s="47" t="s">
        <v>86</v>
      </c>
      <c r="C3" s="47" t="s">
        <v>87</v>
      </c>
      <c r="D3" s="47" t="s">
        <v>68</v>
      </c>
      <c r="E3" s="48">
        <v>0</v>
      </c>
      <c r="F3" s="49">
        <f>1-E3</f>
        <v>1</v>
      </c>
      <c r="G3" s="50" t="s">
        <v>167</v>
      </c>
      <c r="H3" s="50" t="s">
        <v>168</v>
      </c>
      <c r="I3" s="41"/>
      <c r="J3" s="58" t="s">
        <v>95</v>
      </c>
      <c r="K3" s="33"/>
      <c r="L3" s="36">
        <f>光伏发电衰减表min!L3</f>
        <v>1.4773</v>
      </c>
      <c r="M3" s="36">
        <f>光伏发电衰减表min!M3</f>
        <v>1.1872</v>
      </c>
      <c r="N3" s="36">
        <f>光伏发电衰减表min!N3</f>
        <v>0.7097</v>
      </c>
      <c r="O3" s="36" t="s">
        <v>96</v>
      </c>
      <c r="P3" s="33">
        <f>光伏发电衰减表min!P3</f>
        <v>0</v>
      </c>
      <c r="Q3" s="33">
        <f>光伏发电衰减表min!Q3</f>
        <v>0</v>
      </c>
      <c r="R3" s="33">
        <f>光伏发电衰减表min!R3</f>
        <v>0</v>
      </c>
      <c r="S3" s="33">
        <f>光伏发电衰减表min!S3</f>
        <v>0</v>
      </c>
    </row>
    <row r="4" ht="18.6" customHeight="1" spans="1:19">
      <c r="A4" s="39"/>
      <c r="B4" s="47">
        <v>1</v>
      </c>
      <c r="C4" s="51">
        <v>0.99</v>
      </c>
      <c r="D4" s="52" t="e">
        <f t="shared" ref="D4:D33" si="0">$J$10*C4</f>
        <v>#REF!</v>
      </c>
      <c r="E4" s="53" t="e">
        <f>D4*E3</f>
        <v>#REF!</v>
      </c>
      <c r="F4" s="53" t="e">
        <f>D4*F3</f>
        <v>#REF!</v>
      </c>
      <c r="G4" s="54" t="e">
        <f>$J$12*C4*$E$3*$L$8*(1-$J$6)+$J$14*C4*$E$3*$L$17*(1-$J$6)</f>
        <v>#REF!</v>
      </c>
      <c r="H4" s="54" t="e">
        <f t="shared" ref="H4:H33" si="1">D4/12</f>
        <v>#REF!</v>
      </c>
      <c r="I4" s="57"/>
      <c r="J4" s="140">
        <v>0.453</v>
      </c>
      <c r="K4" s="141" t="s">
        <v>97</v>
      </c>
      <c r="L4" s="33" t="s">
        <v>78</v>
      </c>
      <c r="M4" s="33" t="s">
        <v>79</v>
      </c>
      <c r="N4" s="33" t="s">
        <v>80</v>
      </c>
      <c r="O4" s="33" t="s">
        <v>81</v>
      </c>
      <c r="P4" s="62"/>
      <c r="Q4" s="17"/>
      <c r="R4" s="17"/>
      <c r="S4" s="17"/>
    </row>
    <row r="5" ht="18.6" customHeight="1" spans="1:19">
      <c r="A5" s="39"/>
      <c r="B5" s="47">
        <v>2</v>
      </c>
      <c r="C5" s="51">
        <f t="shared" ref="C5:C33" si="2">C4-0.004</f>
        <v>0.986</v>
      </c>
      <c r="D5" s="52" t="e">
        <f t="shared" si="0"/>
        <v>#REF!</v>
      </c>
      <c r="E5" s="53" t="e">
        <f t="shared" ref="E5:E33" si="3">D5*$E$3</f>
        <v>#REF!</v>
      </c>
      <c r="F5" s="53" t="e">
        <f t="shared" ref="F5:F33" si="4">D5*$F$3</f>
        <v>#REF!</v>
      </c>
      <c r="G5" s="54" t="e">
        <f t="shared" ref="G5:G33" si="5">$J$12*C5*$E$3*$L$8*(1-$J$6)+$J$14*C5*$E$3*$L$17*(1-$J$6)</f>
        <v>#REF!</v>
      </c>
      <c r="H5" s="54" t="e">
        <f t="shared" si="1"/>
        <v>#REF!</v>
      </c>
      <c r="I5" s="57"/>
      <c r="J5" s="70" t="s">
        <v>174</v>
      </c>
      <c r="K5" s="76"/>
      <c r="L5" s="64">
        <f>L3+P3+S3</f>
        <v>1.4773</v>
      </c>
      <c r="M5" s="64">
        <f>M3+Q3+S3</f>
        <v>1.1872</v>
      </c>
      <c r="N5" s="64">
        <f>N3+R3+S3</f>
        <v>0.7097</v>
      </c>
      <c r="O5" s="64" t="s">
        <v>96</v>
      </c>
      <c r="P5" s="63"/>
      <c r="Q5" s="17"/>
      <c r="R5" s="17"/>
      <c r="S5" s="17"/>
    </row>
    <row r="6" ht="18.6" customHeight="1" spans="1:19">
      <c r="A6" s="39"/>
      <c r="B6" s="47">
        <v>3</v>
      </c>
      <c r="C6" s="51">
        <f t="shared" si="2"/>
        <v>0.982</v>
      </c>
      <c r="D6" s="52" t="e">
        <f t="shared" si="0"/>
        <v>#REF!</v>
      </c>
      <c r="E6" s="53" t="e">
        <f t="shared" si="3"/>
        <v>#REF!</v>
      </c>
      <c r="F6" s="53" t="e">
        <f t="shared" si="4"/>
        <v>#REF!</v>
      </c>
      <c r="G6" s="54" t="e">
        <f t="shared" si="5"/>
        <v>#REF!</v>
      </c>
      <c r="H6" s="54" t="e">
        <f t="shared" si="1"/>
        <v>#REF!</v>
      </c>
      <c r="I6" s="57"/>
      <c r="J6" s="142">
        <v>0.85</v>
      </c>
      <c r="K6" s="34"/>
      <c r="L6" s="33" t="s">
        <v>99</v>
      </c>
      <c r="M6" s="33" t="s">
        <v>99</v>
      </c>
      <c r="N6" s="33" t="s">
        <v>99</v>
      </c>
      <c r="O6" s="33" t="s">
        <v>99</v>
      </c>
      <c r="P6" s="33" t="s">
        <v>100</v>
      </c>
      <c r="Q6" s="17"/>
      <c r="R6" s="17"/>
      <c r="S6" s="17"/>
    </row>
    <row r="7" ht="18.6" customHeight="1" spans="1:19">
      <c r="A7" s="39"/>
      <c r="B7" s="47">
        <v>4</v>
      </c>
      <c r="C7" s="51">
        <f t="shared" si="2"/>
        <v>0.978</v>
      </c>
      <c r="D7" s="52" t="e">
        <f t="shared" si="0"/>
        <v>#REF!</v>
      </c>
      <c r="E7" s="53" t="e">
        <f t="shared" si="3"/>
        <v>#REF!</v>
      </c>
      <c r="F7" s="53" t="e">
        <f t="shared" si="4"/>
        <v>#REF!</v>
      </c>
      <c r="G7" s="54" t="e">
        <f t="shared" si="5"/>
        <v>#REF!</v>
      </c>
      <c r="H7" s="54" t="e">
        <f t="shared" si="1"/>
        <v>#REF!</v>
      </c>
      <c r="I7" s="57"/>
      <c r="J7" s="65" t="s">
        <v>101</v>
      </c>
      <c r="K7" s="34"/>
      <c r="L7" s="36">
        <v>0</v>
      </c>
      <c r="M7" s="36">
        <v>5</v>
      </c>
      <c r="N7" s="36">
        <v>4</v>
      </c>
      <c r="O7" s="36">
        <v>0</v>
      </c>
      <c r="P7" s="33">
        <v>9</v>
      </c>
      <c r="Q7" s="17"/>
      <c r="R7" s="17"/>
      <c r="S7" s="17"/>
    </row>
    <row r="8" ht="18.6" customHeight="1" spans="1:19">
      <c r="A8" s="39"/>
      <c r="B8" s="47">
        <v>5</v>
      </c>
      <c r="C8" s="51">
        <f t="shared" si="2"/>
        <v>0.974</v>
      </c>
      <c r="D8" s="52" t="e">
        <f t="shared" si="0"/>
        <v>#REF!</v>
      </c>
      <c r="E8" s="53" t="e">
        <f t="shared" si="3"/>
        <v>#REF!</v>
      </c>
      <c r="F8" s="53" t="e">
        <f t="shared" si="4"/>
        <v>#REF!</v>
      </c>
      <c r="G8" s="54" t="e">
        <f t="shared" si="5"/>
        <v>#REF!</v>
      </c>
      <c r="H8" s="54" t="e">
        <f t="shared" si="1"/>
        <v>#REF!</v>
      </c>
      <c r="I8" s="57"/>
      <c r="J8" s="66">
        <f>(L8*9+L17*3)/12</f>
        <v>0.999152777777778</v>
      </c>
      <c r="K8" s="34" t="s">
        <v>102</v>
      </c>
      <c r="L8" s="67">
        <f>(M5*M7+N5*N7)/P7</f>
        <v>0.974977777777778</v>
      </c>
      <c r="M8" s="68"/>
      <c r="N8" s="68"/>
      <c r="O8" s="68"/>
      <c r="P8" s="69"/>
      <c r="Q8" s="17"/>
      <c r="R8" s="17"/>
      <c r="S8" s="17"/>
    </row>
    <row r="9" ht="18.6" customHeight="1" spans="1:19">
      <c r="A9" s="39"/>
      <c r="B9" s="47">
        <v>6</v>
      </c>
      <c r="C9" s="51">
        <f t="shared" si="2"/>
        <v>0.97</v>
      </c>
      <c r="D9" s="52" t="e">
        <f t="shared" si="0"/>
        <v>#REF!</v>
      </c>
      <c r="E9" s="53" t="e">
        <f t="shared" si="3"/>
        <v>#REF!</v>
      </c>
      <c r="F9" s="53" t="e">
        <f t="shared" si="4"/>
        <v>#REF!</v>
      </c>
      <c r="G9" s="54" t="e">
        <f t="shared" si="5"/>
        <v>#REF!</v>
      </c>
      <c r="H9" s="54" t="e">
        <f t="shared" si="1"/>
        <v>#REF!</v>
      </c>
      <c r="I9" s="57"/>
      <c r="J9" s="70" t="s">
        <v>170</v>
      </c>
      <c r="K9" s="17"/>
      <c r="L9" s="17"/>
      <c r="M9" s="17"/>
      <c r="N9" s="17"/>
      <c r="O9" s="17"/>
      <c r="P9" s="17"/>
      <c r="Q9" s="17"/>
      <c r="R9" s="17"/>
      <c r="S9" s="17"/>
    </row>
    <row r="10" ht="18.6" customHeight="1" spans="1:19">
      <c r="A10" s="39"/>
      <c r="B10" s="47">
        <v>7</v>
      </c>
      <c r="C10" s="51">
        <f t="shared" si="2"/>
        <v>0.966</v>
      </c>
      <c r="D10" s="52" t="e">
        <f t="shared" si="0"/>
        <v>#REF!</v>
      </c>
      <c r="E10" s="53" t="e">
        <f t="shared" si="3"/>
        <v>#REF!</v>
      </c>
      <c r="F10" s="53" t="e">
        <f t="shared" si="4"/>
        <v>#REF!</v>
      </c>
      <c r="G10" s="54" t="e">
        <f t="shared" si="5"/>
        <v>#REF!</v>
      </c>
      <c r="H10" s="54" t="e">
        <f t="shared" si="1"/>
        <v>#REF!</v>
      </c>
      <c r="I10" s="57"/>
      <c r="J10" s="143" t="e">
        <f>J12+J14</f>
        <v>#REF!</v>
      </c>
      <c r="K10" s="72" t="s">
        <v>104</v>
      </c>
      <c r="L10" s="70"/>
      <c r="M10" s="70"/>
      <c r="N10" s="70"/>
      <c r="O10" s="70"/>
      <c r="P10" s="70"/>
      <c r="Q10" s="70"/>
      <c r="R10" s="70"/>
      <c r="S10" s="70"/>
    </row>
    <row r="11" ht="18.6" customHeight="1" spans="1:19">
      <c r="A11" s="39"/>
      <c r="B11" s="47">
        <v>8</v>
      </c>
      <c r="C11" s="51">
        <f t="shared" si="2"/>
        <v>0.962</v>
      </c>
      <c r="D11" s="52" t="e">
        <f t="shared" si="0"/>
        <v>#REF!</v>
      </c>
      <c r="E11" s="53" t="e">
        <f t="shared" si="3"/>
        <v>#REF!</v>
      </c>
      <c r="F11" s="53" t="e">
        <f t="shared" si="4"/>
        <v>#REF!</v>
      </c>
      <c r="G11" s="54" t="e">
        <f t="shared" si="5"/>
        <v>#REF!</v>
      </c>
      <c r="H11" s="54" t="e">
        <f t="shared" si="1"/>
        <v>#REF!</v>
      </c>
      <c r="I11" s="57"/>
      <c r="J11" s="70" t="s">
        <v>171</v>
      </c>
      <c r="K11" s="72" t="s">
        <v>77</v>
      </c>
      <c r="L11" s="70" t="s">
        <v>78</v>
      </c>
      <c r="M11" s="70" t="s">
        <v>79</v>
      </c>
      <c r="N11" s="70" t="s">
        <v>80</v>
      </c>
      <c r="O11" s="70" t="s">
        <v>81</v>
      </c>
      <c r="P11" s="70" t="s">
        <v>82</v>
      </c>
      <c r="Q11" s="70" t="s">
        <v>83</v>
      </c>
      <c r="R11" s="70" t="s">
        <v>84</v>
      </c>
      <c r="S11" s="70" t="s">
        <v>85</v>
      </c>
    </row>
    <row r="12" ht="18.6" customHeight="1" spans="1:19">
      <c r="A12" s="39"/>
      <c r="B12" s="47">
        <v>9</v>
      </c>
      <c r="C12" s="51">
        <f t="shared" si="2"/>
        <v>0.958</v>
      </c>
      <c r="D12" s="52" t="e">
        <f t="shared" si="0"/>
        <v>#REF!</v>
      </c>
      <c r="E12" s="53" t="e">
        <f t="shared" si="3"/>
        <v>#REF!</v>
      </c>
      <c r="F12" s="53" t="e">
        <f t="shared" si="4"/>
        <v>#REF!</v>
      </c>
      <c r="G12" s="54" t="e">
        <f t="shared" si="5"/>
        <v>#REF!</v>
      </c>
      <c r="H12" s="54" t="e">
        <f t="shared" si="1"/>
        <v>#REF!</v>
      </c>
      <c r="I12" s="57"/>
      <c r="J12" s="143" t="e">
        <f>M21+M22+M23+M24+M25+M26+M30+M31+M32</f>
        <v>#REF!</v>
      </c>
      <c r="K12" s="72"/>
      <c r="L12" s="73">
        <f t="shared" ref="L12:O12" si="6">L3</f>
        <v>1.4773</v>
      </c>
      <c r="M12" s="73">
        <f t="shared" si="6"/>
        <v>1.1872</v>
      </c>
      <c r="N12" s="73">
        <f t="shared" si="6"/>
        <v>0.7097</v>
      </c>
      <c r="O12" s="73" t="str">
        <f t="shared" si="6"/>
        <v>忽略</v>
      </c>
      <c r="P12" s="70">
        <f>光伏发电衰减表min!P12</f>
        <v>0</v>
      </c>
      <c r="Q12" s="70">
        <f>光伏发电衰减表min!Q12</f>
        <v>0</v>
      </c>
      <c r="R12" s="70">
        <f>光伏发电衰减表min!R12</f>
        <v>0</v>
      </c>
      <c r="S12" s="70">
        <f>光伏发电衰减表min!S12</f>
        <v>0</v>
      </c>
    </row>
    <row r="13" ht="18.6" customHeight="1" spans="1:19">
      <c r="A13" s="39"/>
      <c r="B13" s="47">
        <v>10</v>
      </c>
      <c r="C13" s="51">
        <f t="shared" si="2"/>
        <v>0.954</v>
      </c>
      <c r="D13" s="52" t="e">
        <f t="shared" si="0"/>
        <v>#REF!</v>
      </c>
      <c r="E13" s="53" t="e">
        <f t="shared" si="3"/>
        <v>#REF!</v>
      </c>
      <c r="F13" s="53" t="e">
        <f t="shared" si="4"/>
        <v>#REF!</v>
      </c>
      <c r="G13" s="54" t="e">
        <f t="shared" si="5"/>
        <v>#REF!</v>
      </c>
      <c r="H13" s="54" t="e">
        <f t="shared" si="1"/>
        <v>#REF!</v>
      </c>
      <c r="I13" s="57"/>
      <c r="J13" s="70" t="s">
        <v>106</v>
      </c>
      <c r="K13" s="74" t="s">
        <v>97</v>
      </c>
      <c r="L13" s="63" t="s">
        <v>78</v>
      </c>
      <c r="M13" s="63" t="s">
        <v>79</v>
      </c>
      <c r="N13" s="63" t="s">
        <v>80</v>
      </c>
      <c r="O13" s="63" t="s">
        <v>81</v>
      </c>
      <c r="P13" s="75"/>
      <c r="Q13" s="39"/>
      <c r="R13" s="39"/>
      <c r="S13" s="39"/>
    </row>
    <row r="14" ht="18.6" customHeight="1" spans="1:19">
      <c r="A14" s="39"/>
      <c r="B14" s="47">
        <v>11</v>
      </c>
      <c r="C14" s="51">
        <f t="shared" si="2"/>
        <v>0.95</v>
      </c>
      <c r="D14" s="52" t="e">
        <f t="shared" si="0"/>
        <v>#REF!</v>
      </c>
      <c r="E14" s="53" t="e">
        <f t="shared" si="3"/>
        <v>#REF!</v>
      </c>
      <c r="F14" s="53" t="e">
        <f t="shared" si="4"/>
        <v>#REF!</v>
      </c>
      <c r="G14" s="54" t="e">
        <f t="shared" si="5"/>
        <v>#REF!</v>
      </c>
      <c r="H14" s="54" t="e">
        <f t="shared" si="1"/>
        <v>#REF!</v>
      </c>
      <c r="I14" s="57"/>
      <c r="J14" s="143" t="e">
        <f>M27+M28+M29</f>
        <v>#REF!</v>
      </c>
      <c r="K14" s="76"/>
      <c r="L14" s="64">
        <f>L12+P12+S12</f>
        <v>1.4773</v>
      </c>
      <c r="M14" s="64">
        <f>M12+Q12+S12</f>
        <v>1.1872</v>
      </c>
      <c r="N14" s="64">
        <f>N12+R12+S12</f>
        <v>0.7097</v>
      </c>
      <c r="O14" s="64" t="s">
        <v>96</v>
      </c>
      <c r="P14" s="77"/>
      <c r="Q14" s="39"/>
      <c r="R14" s="39"/>
      <c r="S14" s="39"/>
    </row>
    <row r="15" ht="18.6" customHeight="1" spans="1:19">
      <c r="A15" s="39"/>
      <c r="B15" s="47">
        <v>12</v>
      </c>
      <c r="C15" s="51">
        <f t="shared" si="2"/>
        <v>0.946</v>
      </c>
      <c r="D15" s="52" t="e">
        <f t="shared" si="0"/>
        <v>#REF!</v>
      </c>
      <c r="E15" s="53" t="e">
        <f t="shared" si="3"/>
        <v>#REF!</v>
      </c>
      <c r="F15" s="53" t="e">
        <f t="shared" si="4"/>
        <v>#REF!</v>
      </c>
      <c r="G15" s="54" t="e">
        <f t="shared" si="5"/>
        <v>#REF!</v>
      </c>
      <c r="H15" s="54" t="e">
        <f t="shared" si="1"/>
        <v>#REF!</v>
      </c>
      <c r="I15" s="57"/>
      <c r="J15" s="39"/>
      <c r="K15" s="33"/>
      <c r="L15" s="33" t="s">
        <v>99</v>
      </c>
      <c r="M15" s="33" t="s">
        <v>99</v>
      </c>
      <c r="N15" s="33" t="s">
        <v>99</v>
      </c>
      <c r="O15" s="33" t="s">
        <v>99</v>
      </c>
      <c r="P15" s="33" t="s">
        <v>100</v>
      </c>
      <c r="Q15" s="39"/>
      <c r="R15" s="39"/>
      <c r="S15" s="39"/>
    </row>
    <row r="16" ht="18.6" customHeight="1" spans="1:19">
      <c r="A16" s="39"/>
      <c r="B16" s="47">
        <v>13</v>
      </c>
      <c r="C16" s="51">
        <f t="shared" si="2"/>
        <v>0.942</v>
      </c>
      <c r="D16" s="52" t="e">
        <f t="shared" si="0"/>
        <v>#REF!</v>
      </c>
      <c r="E16" s="53" t="e">
        <f t="shared" si="3"/>
        <v>#REF!</v>
      </c>
      <c r="F16" s="53" t="e">
        <f t="shared" si="4"/>
        <v>#REF!</v>
      </c>
      <c r="G16" s="54" t="e">
        <f t="shared" si="5"/>
        <v>#REF!</v>
      </c>
      <c r="H16" s="54" t="e">
        <f t="shared" si="1"/>
        <v>#REF!</v>
      </c>
      <c r="I16" s="57"/>
      <c r="J16" s="39"/>
      <c r="K16" s="33"/>
      <c r="L16" s="36">
        <v>3</v>
      </c>
      <c r="M16" s="36">
        <v>2</v>
      </c>
      <c r="N16" s="36">
        <v>4</v>
      </c>
      <c r="O16" s="36">
        <v>0</v>
      </c>
      <c r="P16" s="33">
        <v>9</v>
      </c>
      <c r="Q16" s="39"/>
      <c r="R16" s="39"/>
      <c r="S16" s="39"/>
    </row>
    <row r="17" ht="18.6" customHeight="1" spans="1:19">
      <c r="A17" s="39"/>
      <c r="B17" s="47">
        <v>14</v>
      </c>
      <c r="C17" s="51">
        <f t="shared" si="2"/>
        <v>0.938</v>
      </c>
      <c r="D17" s="52" t="e">
        <f t="shared" si="0"/>
        <v>#REF!</v>
      </c>
      <c r="E17" s="53" t="e">
        <f t="shared" si="3"/>
        <v>#REF!</v>
      </c>
      <c r="F17" s="53" t="e">
        <f t="shared" si="4"/>
        <v>#REF!</v>
      </c>
      <c r="G17" s="54" t="e">
        <f t="shared" si="5"/>
        <v>#REF!</v>
      </c>
      <c r="H17" s="54" t="e">
        <f t="shared" si="1"/>
        <v>#REF!</v>
      </c>
      <c r="I17" s="57"/>
      <c r="J17" s="39"/>
      <c r="K17" s="33" t="s">
        <v>102</v>
      </c>
      <c r="L17" s="67">
        <f>(L14*L16+M14*M16+N14*N16)/P16</f>
        <v>1.07167777777778</v>
      </c>
      <c r="M17" s="68"/>
      <c r="N17" s="68"/>
      <c r="O17" s="68"/>
      <c r="P17" s="69"/>
      <c r="Q17" s="39"/>
      <c r="R17" s="39"/>
      <c r="S17" s="39"/>
    </row>
    <row r="18" ht="18.6" customHeight="1" spans="1:19">
      <c r="A18" s="39"/>
      <c r="B18" s="47">
        <v>15</v>
      </c>
      <c r="C18" s="51">
        <f t="shared" si="2"/>
        <v>0.934</v>
      </c>
      <c r="D18" s="52" t="e">
        <f t="shared" si="0"/>
        <v>#REF!</v>
      </c>
      <c r="E18" s="53" t="e">
        <f t="shared" si="3"/>
        <v>#REF!</v>
      </c>
      <c r="F18" s="53" t="e">
        <f t="shared" si="4"/>
        <v>#REF!</v>
      </c>
      <c r="G18" s="54" t="e">
        <f t="shared" si="5"/>
        <v>#REF!</v>
      </c>
      <c r="H18" s="54" t="e">
        <f t="shared" si="1"/>
        <v>#REF!</v>
      </c>
      <c r="I18" s="57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ht="18.6" customHeight="1" spans="1:19">
      <c r="A19" s="39"/>
      <c r="B19" s="47">
        <v>16</v>
      </c>
      <c r="C19" s="51">
        <f t="shared" si="2"/>
        <v>0.93</v>
      </c>
      <c r="D19" s="52" t="e">
        <f t="shared" si="0"/>
        <v>#REF!</v>
      </c>
      <c r="E19" s="53" t="e">
        <f t="shared" si="3"/>
        <v>#REF!</v>
      </c>
      <c r="F19" s="53" t="e">
        <f t="shared" si="4"/>
        <v>#REF!</v>
      </c>
      <c r="G19" s="54" t="e">
        <f t="shared" si="5"/>
        <v>#REF!</v>
      </c>
      <c r="H19" s="54" t="e">
        <f t="shared" si="1"/>
        <v>#REF!</v>
      </c>
      <c r="I19" s="57"/>
      <c r="J19" s="39"/>
      <c r="K19" s="79" t="s">
        <v>172</v>
      </c>
      <c r="L19" s="80"/>
      <c r="M19" s="80"/>
      <c r="N19" s="34"/>
      <c r="O19" s="39"/>
      <c r="P19" s="39"/>
      <c r="Q19" s="39"/>
      <c r="R19" s="39"/>
      <c r="S19" s="39"/>
    </row>
    <row r="20" ht="18.6" customHeight="1" spans="1:19">
      <c r="A20" s="39"/>
      <c r="B20" s="47">
        <v>17</v>
      </c>
      <c r="C20" s="51">
        <f t="shared" si="2"/>
        <v>0.926</v>
      </c>
      <c r="D20" s="52" t="e">
        <f t="shared" si="0"/>
        <v>#REF!</v>
      </c>
      <c r="E20" s="53" t="e">
        <f t="shared" si="3"/>
        <v>#REF!</v>
      </c>
      <c r="F20" s="53" t="e">
        <f t="shared" si="4"/>
        <v>#REF!</v>
      </c>
      <c r="G20" s="54" t="e">
        <f t="shared" si="5"/>
        <v>#REF!</v>
      </c>
      <c r="H20" s="54" t="e">
        <f t="shared" si="1"/>
        <v>#REF!</v>
      </c>
      <c r="I20" s="57"/>
      <c r="J20" s="39"/>
      <c r="K20" s="79" t="s">
        <v>32</v>
      </c>
      <c r="L20" s="34"/>
      <c r="M20" s="79" t="s">
        <v>108</v>
      </c>
      <c r="N20" s="34"/>
      <c r="O20" s="39"/>
      <c r="P20" s="39"/>
      <c r="Q20" s="39"/>
      <c r="R20" s="39"/>
      <c r="S20" s="39"/>
    </row>
    <row r="21" ht="18.6" customHeight="1" spans="1:19">
      <c r="A21" s="39"/>
      <c r="B21" s="47">
        <v>18</v>
      </c>
      <c r="C21" s="51">
        <f t="shared" si="2"/>
        <v>0.922</v>
      </c>
      <c r="D21" s="52" t="e">
        <f t="shared" si="0"/>
        <v>#REF!</v>
      </c>
      <c r="E21" s="53" t="e">
        <f t="shared" si="3"/>
        <v>#REF!</v>
      </c>
      <c r="F21" s="53" t="e">
        <f t="shared" si="4"/>
        <v>#REF!</v>
      </c>
      <c r="G21" s="54" t="e">
        <f t="shared" si="5"/>
        <v>#REF!</v>
      </c>
      <c r="H21" s="54" t="e">
        <f t="shared" si="1"/>
        <v>#REF!</v>
      </c>
      <c r="I21" s="57"/>
      <c r="J21" s="39"/>
      <c r="K21" s="33" t="s">
        <v>39</v>
      </c>
      <c r="L21" s="33"/>
      <c r="M21" s="81" t="e">
        <f>基础数据!#REF!</f>
        <v>#REF!</v>
      </c>
      <c r="N21" s="81"/>
      <c r="O21" s="39"/>
      <c r="P21" s="39"/>
      <c r="Q21" s="39"/>
      <c r="R21" s="39"/>
      <c r="S21" s="39"/>
    </row>
    <row r="22" ht="18.6" customHeight="1" spans="1:19">
      <c r="A22" s="39"/>
      <c r="B22" s="47">
        <v>19</v>
      </c>
      <c r="C22" s="51">
        <f t="shared" si="2"/>
        <v>0.918</v>
      </c>
      <c r="D22" s="52" t="e">
        <f t="shared" si="0"/>
        <v>#REF!</v>
      </c>
      <c r="E22" s="53" t="e">
        <f t="shared" si="3"/>
        <v>#REF!</v>
      </c>
      <c r="F22" s="53" t="e">
        <f t="shared" si="4"/>
        <v>#REF!</v>
      </c>
      <c r="G22" s="54" t="e">
        <f t="shared" si="5"/>
        <v>#REF!</v>
      </c>
      <c r="H22" s="54" t="e">
        <f t="shared" si="1"/>
        <v>#REF!</v>
      </c>
      <c r="I22" s="57"/>
      <c r="J22" s="39"/>
      <c r="K22" s="33" t="s">
        <v>40</v>
      </c>
      <c r="L22" s="33"/>
      <c r="M22" s="81" t="e">
        <f>基础数据!#REF!</f>
        <v>#REF!</v>
      </c>
      <c r="N22" s="81"/>
      <c r="O22" s="39"/>
      <c r="P22" s="39"/>
      <c r="Q22" s="39"/>
      <c r="R22" s="39"/>
      <c r="S22" s="39"/>
    </row>
    <row r="23" ht="18.6" customHeight="1" spans="1:19">
      <c r="A23" s="39"/>
      <c r="B23" s="47">
        <v>20</v>
      </c>
      <c r="C23" s="51">
        <f t="shared" si="2"/>
        <v>0.914</v>
      </c>
      <c r="D23" s="52" t="e">
        <f t="shared" si="0"/>
        <v>#REF!</v>
      </c>
      <c r="E23" s="53" t="e">
        <f t="shared" si="3"/>
        <v>#REF!</v>
      </c>
      <c r="F23" s="53" t="e">
        <f t="shared" si="4"/>
        <v>#REF!</v>
      </c>
      <c r="G23" s="54" t="e">
        <f t="shared" si="5"/>
        <v>#REF!</v>
      </c>
      <c r="H23" s="54" t="e">
        <f t="shared" si="1"/>
        <v>#REF!</v>
      </c>
      <c r="I23" s="57"/>
      <c r="J23" s="39"/>
      <c r="K23" s="33" t="s">
        <v>41</v>
      </c>
      <c r="L23" s="33"/>
      <c r="M23" s="81" t="e">
        <f>基础数据!#REF!</f>
        <v>#REF!</v>
      </c>
      <c r="N23" s="81"/>
      <c r="O23" s="39"/>
      <c r="P23" s="39"/>
      <c r="Q23" s="39"/>
      <c r="R23" s="39"/>
      <c r="S23" s="39"/>
    </row>
    <row r="24" ht="18.6" customHeight="1" spans="1:19">
      <c r="A24" s="39"/>
      <c r="B24" s="47">
        <v>21</v>
      </c>
      <c r="C24" s="51">
        <f t="shared" si="2"/>
        <v>0.91</v>
      </c>
      <c r="D24" s="52" t="e">
        <f t="shared" si="0"/>
        <v>#REF!</v>
      </c>
      <c r="E24" s="53" t="e">
        <f t="shared" si="3"/>
        <v>#REF!</v>
      </c>
      <c r="F24" s="53" t="e">
        <f t="shared" si="4"/>
        <v>#REF!</v>
      </c>
      <c r="G24" s="54" t="e">
        <f t="shared" si="5"/>
        <v>#REF!</v>
      </c>
      <c r="H24" s="54" t="e">
        <f t="shared" si="1"/>
        <v>#REF!</v>
      </c>
      <c r="I24" s="57"/>
      <c r="J24" s="39"/>
      <c r="K24" s="33" t="s">
        <v>42</v>
      </c>
      <c r="L24" s="33"/>
      <c r="M24" s="81" t="e">
        <f>基础数据!#REF!</f>
        <v>#REF!</v>
      </c>
      <c r="N24" s="81"/>
      <c r="O24" s="39"/>
      <c r="P24" s="39"/>
      <c r="Q24" s="39"/>
      <c r="R24" s="39"/>
      <c r="S24" s="39"/>
    </row>
    <row r="25" ht="18.6" customHeight="1" spans="1:19">
      <c r="A25" s="39"/>
      <c r="B25" s="47">
        <v>22</v>
      </c>
      <c r="C25" s="51">
        <f t="shared" si="2"/>
        <v>0.906</v>
      </c>
      <c r="D25" s="52" t="e">
        <f t="shared" si="0"/>
        <v>#REF!</v>
      </c>
      <c r="E25" s="53" t="e">
        <f t="shared" si="3"/>
        <v>#REF!</v>
      </c>
      <c r="F25" s="53" t="e">
        <f t="shared" si="4"/>
        <v>#REF!</v>
      </c>
      <c r="G25" s="54" t="e">
        <f t="shared" si="5"/>
        <v>#REF!</v>
      </c>
      <c r="H25" s="54" t="e">
        <f t="shared" si="1"/>
        <v>#REF!</v>
      </c>
      <c r="I25" s="57"/>
      <c r="J25" s="39"/>
      <c r="K25" s="33" t="s">
        <v>43</v>
      </c>
      <c r="L25" s="33"/>
      <c r="M25" s="81" t="e">
        <f>基础数据!#REF!</f>
        <v>#REF!</v>
      </c>
      <c r="N25" s="81"/>
      <c r="O25" s="39"/>
      <c r="P25" s="39"/>
      <c r="Q25" s="39"/>
      <c r="R25" s="39"/>
      <c r="S25" s="39"/>
    </row>
    <row r="26" ht="18.6" customHeight="1" spans="1:19">
      <c r="A26" s="39"/>
      <c r="B26" s="47">
        <v>23</v>
      </c>
      <c r="C26" s="51">
        <f t="shared" si="2"/>
        <v>0.902</v>
      </c>
      <c r="D26" s="52" t="e">
        <f t="shared" si="0"/>
        <v>#REF!</v>
      </c>
      <c r="E26" s="53" t="e">
        <f t="shared" si="3"/>
        <v>#REF!</v>
      </c>
      <c r="F26" s="53" t="e">
        <f t="shared" si="4"/>
        <v>#REF!</v>
      </c>
      <c r="G26" s="54" t="e">
        <f t="shared" si="5"/>
        <v>#REF!</v>
      </c>
      <c r="H26" s="54" t="e">
        <f t="shared" si="1"/>
        <v>#REF!</v>
      </c>
      <c r="I26" s="57"/>
      <c r="J26" s="39"/>
      <c r="K26" s="33" t="s">
        <v>44</v>
      </c>
      <c r="L26" s="33"/>
      <c r="M26" s="81" t="e">
        <f>基础数据!#REF!</f>
        <v>#REF!</v>
      </c>
      <c r="N26" s="81"/>
      <c r="O26" s="39"/>
      <c r="P26" s="39"/>
      <c r="Q26" s="39"/>
      <c r="R26" s="39"/>
      <c r="S26" s="39"/>
    </row>
    <row r="27" ht="18.6" customHeight="1" spans="1:19">
      <c r="A27" s="39"/>
      <c r="B27" s="47">
        <v>24</v>
      </c>
      <c r="C27" s="51">
        <f t="shared" si="2"/>
        <v>0.898</v>
      </c>
      <c r="D27" s="52" t="e">
        <f t="shared" si="0"/>
        <v>#REF!</v>
      </c>
      <c r="E27" s="53" t="e">
        <f t="shared" si="3"/>
        <v>#REF!</v>
      </c>
      <c r="F27" s="53" t="e">
        <f t="shared" si="4"/>
        <v>#REF!</v>
      </c>
      <c r="G27" s="54" t="e">
        <f t="shared" si="5"/>
        <v>#REF!</v>
      </c>
      <c r="H27" s="54" t="e">
        <f t="shared" si="1"/>
        <v>#REF!</v>
      </c>
      <c r="I27" s="57"/>
      <c r="J27" s="39"/>
      <c r="K27" s="33" t="s">
        <v>45</v>
      </c>
      <c r="L27" s="33"/>
      <c r="M27" s="81" t="e">
        <f>基础数据!#REF!</f>
        <v>#REF!</v>
      </c>
      <c r="N27" s="81"/>
      <c r="O27" s="39"/>
      <c r="P27" s="39"/>
      <c r="Q27" s="39"/>
      <c r="R27" s="39"/>
      <c r="S27" s="39"/>
    </row>
    <row r="28" ht="18.6" customHeight="1" spans="1:19">
      <c r="A28" s="39"/>
      <c r="B28" s="47">
        <v>25</v>
      </c>
      <c r="C28" s="51">
        <f t="shared" si="2"/>
        <v>0.894</v>
      </c>
      <c r="D28" s="52" t="e">
        <f t="shared" si="0"/>
        <v>#REF!</v>
      </c>
      <c r="E28" s="53" t="e">
        <f t="shared" si="3"/>
        <v>#REF!</v>
      </c>
      <c r="F28" s="53" t="e">
        <f t="shared" si="4"/>
        <v>#REF!</v>
      </c>
      <c r="G28" s="54" t="e">
        <f t="shared" si="5"/>
        <v>#REF!</v>
      </c>
      <c r="H28" s="54" t="e">
        <f t="shared" si="1"/>
        <v>#REF!</v>
      </c>
      <c r="I28" s="57"/>
      <c r="J28" s="39"/>
      <c r="K28" s="33" t="s">
        <v>46</v>
      </c>
      <c r="L28" s="33"/>
      <c r="M28" s="81" t="e">
        <f>基础数据!#REF!</f>
        <v>#REF!</v>
      </c>
      <c r="N28" s="81"/>
      <c r="O28" s="39"/>
      <c r="P28" s="39"/>
      <c r="Q28" s="39"/>
      <c r="R28" s="39"/>
      <c r="S28" s="39"/>
    </row>
    <row r="29" ht="18.6" customHeight="1" spans="1:19">
      <c r="A29" s="39"/>
      <c r="B29" s="47">
        <v>26</v>
      </c>
      <c r="C29" s="51">
        <f t="shared" si="2"/>
        <v>0.89</v>
      </c>
      <c r="D29" s="52" t="e">
        <f t="shared" si="0"/>
        <v>#REF!</v>
      </c>
      <c r="E29" s="53" t="e">
        <f t="shared" si="3"/>
        <v>#REF!</v>
      </c>
      <c r="F29" s="53" t="e">
        <f t="shared" si="4"/>
        <v>#REF!</v>
      </c>
      <c r="G29" s="54" t="e">
        <f t="shared" si="5"/>
        <v>#REF!</v>
      </c>
      <c r="H29" s="54" t="e">
        <f t="shared" si="1"/>
        <v>#REF!</v>
      </c>
      <c r="J29" s="39"/>
      <c r="K29" s="33" t="s">
        <v>47</v>
      </c>
      <c r="L29" s="33"/>
      <c r="M29" s="81" t="e">
        <f>基础数据!#REF!</f>
        <v>#REF!</v>
      </c>
      <c r="N29" s="81"/>
      <c r="O29" s="39"/>
      <c r="P29" s="39"/>
      <c r="Q29" s="39"/>
      <c r="R29" s="39"/>
      <c r="S29" s="39"/>
    </row>
    <row r="30" ht="18.6" customHeight="1" spans="1:19">
      <c r="A30" s="39"/>
      <c r="B30" s="47">
        <v>27</v>
      </c>
      <c r="C30" s="51">
        <f t="shared" si="2"/>
        <v>0.886</v>
      </c>
      <c r="D30" s="52" t="e">
        <f t="shared" si="0"/>
        <v>#REF!</v>
      </c>
      <c r="E30" s="53" t="e">
        <f t="shared" si="3"/>
        <v>#REF!</v>
      </c>
      <c r="F30" s="53" t="e">
        <f t="shared" si="4"/>
        <v>#REF!</v>
      </c>
      <c r="G30" s="54" t="e">
        <f t="shared" si="5"/>
        <v>#REF!</v>
      </c>
      <c r="H30" s="54" t="e">
        <f t="shared" si="1"/>
        <v>#REF!</v>
      </c>
      <c r="J30" s="39"/>
      <c r="K30" s="33" t="s">
        <v>48</v>
      </c>
      <c r="L30" s="33"/>
      <c r="M30" s="81" t="e">
        <f>基础数据!#REF!</f>
        <v>#REF!</v>
      </c>
      <c r="N30" s="81"/>
      <c r="O30" s="39"/>
      <c r="P30" s="39"/>
      <c r="Q30" s="39"/>
      <c r="R30" s="39"/>
      <c r="S30" s="39"/>
    </row>
    <row r="31" ht="18.6" customHeight="1" spans="1:19">
      <c r="A31" s="39"/>
      <c r="B31" s="47">
        <v>28</v>
      </c>
      <c r="C31" s="51">
        <f t="shared" si="2"/>
        <v>0.882</v>
      </c>
      <c r="D31" s="52" t="e">
        <f t="shared" si="0"/>
        <v>#REF!</v>
      </c>
      <c r="E31" s="53" t="e">
        <f t="shared" si="3"/>
        <v>#REF!</v>
      </c>
      <c r="F31" s="53" t="e">
        <f t="shared" si="4"/>
        <v>#REF!</v>
      </c>
      <c r="G31" s="54" t="e">
        <f t="shared" si="5"/>
        <v>#REF!</v>
      </c>
      <c r="H31" s="54" t="e">
        <f t="shared" si="1"/>
        <v>#REF!</v>
      </c>
      <c r="J31" s="39"/>
      <c r="K31" s="33" t="s">
        <v>49</v>
      </c>
      <c r="L31" s="33"/>
      <c r="M31" s="81" t="e">
        <f>基础数据!#REF!</f>
        <v>#REF!</v>
      </c>
      <c r="N31" s="81"/>
      <c r="O31" s="39"/>
      <c r="P31" s="39"/>
      <c r="Q31" s="39"/>
      <c r="R31" s="39"/>
      <c r="S31" s="39"/>
    </row>
    <row r="32" ht="18.6" customHeight="1" spans="1:19">
      <c r="A32" s="39"/>
      <c r="B32" s="47">
        <v>29</v>
      </c>
      <c r="C32" s="51">
        <f t="shared" si="2"/>
        <v>0.878</v>
      </c>
      <c r="D32" s="52" t="e">
        <f t="shared" si="0"/>
        <v>#REF!</v>
      </c>
      <c r="E32" s="53" t="e">
        <f t="shared" si="3"/>
        <v>#REF!</v>
      </c>
      <c r="F32" s="53" t="e">
        <f t="shared" si="4"/>
        <v>#REF!</v>
      </c>
      <c r="G32" s="54" t="e">
        <f t="shared" si="5"/>
        <v>#REF!</v>
      </c>
      <c r="H32" s="54" t="e">
        <f t="shared" si="1"/>
        <v>#REF!</v>
      </c>
      <c r="J32" s="39"/>
      <c r="K32" s="33" t="s">
        <v>50</v>
      </c>
      <c r="L32" s="33"/>
      <c r="M32" s="81" t="e">
        <f>基础数据!#REF!</f>
        <v>#REF!</v>
      </c>
      <c r="N32" s="81"/>
      <c r="O32" s="39"/>
      <c r="P32" s="39"/>
      <c r="Q32" s="39"/>
      <c r="R32" s="39"/>
      <c r="S32" s="39"/>
    </row>
    <row r="33" ht="18.6" customHeight="1" spans="1:19">
      <c r="A33" s="39"/>
      <c r="B33" s="47">
        <v>30</v>
      </c>
      <c r="C33" s="51">
        <f t="shared" si="2"/>
        <v>0.874</v>
      </c>
      <c r="D33" s="52" t="e">
        <f t="shared" si="0"/>
        <v>#REF!</v>
      </c>
      <c r="E33" s="53" t="e">
        <f t="shared" si="3"/>
        <v>#REF!</v>
      </c>
      <c r="F33" s="53" t="e">
        <f t="shared" si="4"/>
        <v>#REF!</v>
      </c>
      <c r="G33" s="54" t="e">
        <f t="shared" si="5"/>
        <v>#REF!</v>
      </c>
      <c r="H33" s="54" t="e">
        <f t="shared" si="1"/>
        <v>#REF!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ht="18.6" customHeight="1" spans="1:8">
      <c r="A34" s="39"/>
      <c r="B34" s="55" t="s">
        <v>52</v>
      </c>
      <c r="C34" s="55"/>
      <c r="D34" s="56" t="e">
        <f t="shared" ref="D34:G34" si="7">SUM(D4:D33)</f>
        <v>#REF!</v>
      </c>
      <c r="E34" s="56" t="e">
        <f t="shared" si="7"/>
        <v>#REF!</v>
      </c>
      <c r="F34" s="56" t="e">
        <f t="shared" si="7"/>
        <v>#REF!</v>
      </c>
      <c r="G34" s="56" t="e">
        <f t="shared" si="7"/>
        <v>#REF!</v>
      </c>
      <c r="H34" s="46"/>
    </row>
    <row r="35" ht="18.6" customHeight="1" spans="1:8">
      <c r="A35" s="39" t="s">
        <v>109</v>
      </c>
      <c r="B35" s="46"/>
      <c r="C35" s="46"/>
      <c r="D35" s="46"/>
      <c r="E35" s="46"/>
      <c r="F35" s="46"/>
      <c r="G35" s="46"/>
      <c r="H35" s="46"/>
    </row>
    <row r="36" ht="22.5" customHeight="1" spans="4:4">
      <c r="D36" s="57"/>
    </row>
    <row r="37" ht="22.5" customHeight="1"/>
  </sheetData>
  <mergeCells count="38">
    <mergeCell ref="K1:S1"/>
    <mergeCell ref="B2:D2"/>
    <mergeCell ref="L8:P8"/>
    <mergeCell ref="K10:S10"/>
    <mergeCell ref="L17:P17"/>
    <mergeCell ref="K19:N19"/>
    <mergeCell ref="K20:L20"/>
    <mergeCell ref="M20:N20"/>
    <mergeCell ref="K21:L21"/>
    <mergeCell ref="M21:N21"/>
    <mergeCell ref="K22:L22"/>
    <mergeCell ref="M22:N22"/>
    <mergeCell ref="K23:L23"/>
    <mergeCell ref="M23:N23"/>
    <mergeCell ref="K24:L24"/>
    <mergeCell ref="M24:N24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K30:L30"/>
    <mergeCell ref="M30:N30"/>
    <mergeCell ref="K31:L31"/>
    <mergeCell ref="M31:N31"/>
    <mergeCell ref="K32:L32"/>
    <mergeCell ref="M32:N32"/>
    <mergeCell ref="B34:C34"/>
    <mergeCell ref="K2:K3"/>
    <mergeCell ref="K4:K5"/>
    <mergeCell ref="K11:K12"/>
    <mergeCell ref="K13:K14"/>
    <mergeCell ref="P4:P5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I33" sqref="I33"/>
    </sheetView>
  </sheetViews>
  <sheetFormatPr defaultColWidth="9" defaultRowHeight="21.95" customHeight="1"/>
  <cols>
    <col min="6" max="6" width="12.5" style="41" customWidth="1"/>
    <col min="7" max="7" width="12.5" style="57" customWidth="1"/>
    <col min="8" max="9" width="12.5" style="41" customWidth="1"/>
    <col min="10" max="10" width="12.625" customWidth="1"/>
    <col min="11" max="11" width="26.5" customWidth="1"/>
    <col min="12" max="12" width="14" customWidth="1"/>
    <col min="13" max="13" width="22.125" customWidth="1"/>
    <col min="14" max="14" width="15.375" customWidth="1"/>
  </cols>
  <sheetData>
    <row r="1" customHeight="1" spans="11:11">
      <c r="K1" s="95"/>
    </row>
    <row r="2" customHeight="1" spans="1:9">
      <c r="A2" s="122"/>
      <c r="B2" s="122" t="s">
        <v>175</v>
      </c>
      <c r="C2" s="122"/>
      <c r="F2" s="123" t="s">
        <v>176</v>
      </c>
      <c r="G2" s="124"/>
      <c r="H2" s="124"/>
      <c r="I2" s="133"/>
    </row>
    <row r="3" customHeight="1" spans="1:9">
      <c r="A3" s="125" t="s">
        <v>39</v>
      </c>
      <c r="B3" s="122" t="s">
        <v>177</v>
      </c>
      <c r="C3" s="126"/>
      <c r="F3" s="127" t="s">
        <v>32</v>
      </c>
      <c r="G3" s="128" t="s">
        <v>178</v>
      </c>
      <c r="H3" s="127" t="s">
        <v>179</v>
      </c>
      <c r="I3" s="127" t="s">
        <v>75</v>
      </c>
    </row>
    <row r="4" customHeight="1" spans="1:9">
      <c r="A4" s="129"/>
      <c r="B4" s="122" t="s">
        <v>180</v>
      </c>
      <c r="C4" s="130">
        <v>90720</v>
      </c>
      <c r="F4" s="127">
        <v>1</v>
      </c>
      <c r="G4" s="128">
        <f>C3+C4*5/7+C5*4/9</f>
        <v>102311.111111111</v>
      </c>
      <c r="H4" s="128">
        <f>'光伏发电衰减表 输入数据'!U24</f>
        <v>38818.21581</v>
      </c>
      <c r="I4" s="134">
        <f t="shared" ref="I4:I15" si="0">IF(G4/H4&lt;1,G4/H4,1)</f>
        <v>1</v>
      </c>
    </row>
    <row r="5" customHeight="1" spans="1:9">
      <c r="A5" s="131"/>
      <c r="B5" s="122" t="s">
        <v>181</v>
      </c>
      <c r="C5" s="130">
        <v>84400</v>
      </c>
      <c r="F5" s="127">
        <v>2</v>
      </c>
      <c r="G5" s="128">
        <f>C6+C7*5/7+C8*4/9</f>
        <v>332624.761904762</v>
      </c>
      <c r="H5" s="128">
        <f>'光伏发电衰减表 输入数据'!U25</f>
        <v>49334.5545</v>
      </c>
      <c r="I5" s="134">
        <f t="shared" si="0"/>
        <v>1</v>
      </c>
    </row>
    <row r="6" customHeight="1" spans="1:12">
      <c r="A6" s="125" t="s">
        <v>40</v>
      </c>
      <c r="B6" s="122" t="s">
        <v>177</v>
      </c>
      <c r="C6" s="126"/>
      <c r="F6" s="127">
        <v>3</v>
      </c>
      <c r="G6" s="128">
        <f>C9+C10*5/7+C11*4/9</f>
        <v>410921.904761905</v>
      </c>
      <c r="H6" s="128">
        <f>'光伏发电衰减表 输入数据'!U26</f>
        <v>73871.193165</v>
      </c>
      <c r="I6" s="134">
        <f t="shared" si="0"/>
        <v>1</v>
      </c>
      <c r="K6" s="128" t="s">
        <v>182</v>
      </c>
      <c r="L6" s="128" t="s">
        <v>183</v>
      </c>
    </row>
    <row r="7" customHeight="1" spans="1:12">
      <c r="A7" s="129"/>
      <c r="B7" s="122" t="s">
        <v>180</v>
      </c>
      <c r="C7" s="130">
        <v>294240</v>
      </c>
      <c r="F7" s="127">
        <v>4</v>
      </c>
      <c r="G7" s="128">
        <f>C12+C13*5/7+C14*4/9</f>
        <v>354786.031746032</v>
      </c>
      <c r="H7" s="128">
        <f>'光伏发电衰减表 输入数据'!U27</f>
        <v>87352.98165</v>
      </c>
      <c r="I7" s="134">
        <f t="shared" si="0"/>
        <v>1</v>
      </c>
      <c r="K7" s="128" t="s">
        <v>184</v>
      </c>
      <c r="L7" s="135">
        <v>0.95</v>
      </c>
    </row>
    <row r="8" customHeight="1" spans="1:12">
      <c r="A8" s="131"/>
      <c r="B8" s="122" t="s">
        <v>181</v>
      </c>
      <c r="C8" s="130">
        <v>275520</v>
      </c>
      <c r="F8" s="127">
        <v>5</v>
      </c>
      <c r="G8" s="128">
        <f>C15+C16*5/7+C17*4/9</f>
        <v>338659.047619048</v>
      </c>
      <c r="H8" s="128">
        <f>'光伏发电衰减表 输入数据'!U28</f>
        <v>93734.640945</v>
      </c>
      <c r="I8" s="134">
        <f t="shared" si="0"/>
        <v>1</v>
      </c>
      <c r="K8" s="128" t="s">
        <v>185</v>
      </c>
      <c r="L8" s="135">
        <v>0.92</v>
      </c>
    </row>
    <row r="9" customHeight="1" spans="1:12">
      <c r="A9" s="125" t="s">
        <v>41</v>
      </c>
      <c r="B9" s="122" t="s">
        <v>177</v>
      </c>
      <c r="C9" s="126"/>
      <c r="F9" s="127">
        <v>6</v>
      </c>
      <c r="G9" s="128">
        <f>C18+C19*5/7+C20*4/9</f>
        <v>324708.571428571</v>
      </c>
      <c r="H9" s="128">
        <f>'光伏发电衰减表 输入数据'!U29</f>
        <v>86124.31245</v>
      </c>
      <c r="I9" s="134">
        <f t="shared" si="0"/>
        <v>1</v>
      </c>
      <c r="K9" s="128" t="s">
        <v>186</v>
      </c>
      <c r="L9" s="135">
        <v>0.89</v>
      </c>
    </row>
    <row r="10" customHeight="1" spans="1:12">
      <c r="A10" s="129"/>
      <c r="B10" s="122" t="s">
        <v>180</v>
      </c>
      <c r="C10" s="130">
        <v>360400</v>
      </c>
      <c r="F10" s="127">
        <v>7</v>
      </c>
      <c r="G10" s="128">
        <f>C21+C22*5/7+C23*4/9</f>
        <v>367488.253968254</v>
      </c>
      <c r="H10" s="128">
        <f>'光伏发电衰减表 输入数据'!U30</f>
        <v>117551.380155</v>
      </c>
      <c r="I10" s="134">
        <f t="shared" si="0"/>
        <v>1</v>
      </c>
      <c r="K10" s="128" t="s">
        <v>187</v>
      </c>
      <c r="L10" s="135">
        <v>0.86</v>
      </c>
    </row>
    <row r="11" customHeight="1" spans="1:12">
      <c r="A11" s="131"/>
      <c r="B11" s="122" t="s">
        <v>181</v>
      </c>
      <c r="C11" s="130">
        <v>345360</v>
      </c>
      <c r="F11" s="127">
        <v>8</v>
      </c>
      <c r="G11" s="128">
        <f>C24+C25*5/7+C26*4/9</f>
        <v>413293.968253968</v>
      </c>
      <c r="H11" s="128">
        <f>'光伏发电衰减表 输入数据'!U31</f>
        <v>113287.19391</v>
      </c>
      <c r="I11" s="134">
        <f t="shared" si="0"/>
        <v>1</v>
      </c>
      <c r="K11" s="128" t="s">
        <v>188</v>
      </c>
      <c r="L11" s="135">
        <v>0.83</v>
      </c>
    </row>
    <row r="12" customHeight="1" spans="1:12">
      <c r="A12" s="125" t="s">
        <v>42</v>
      </c>
      <c r="B12" s="122" t="s">
        <v>177</v>
      </c>
      <c r="C12" s="126"/>
      <c r="F12" s="127">
        <v>9</v>
      </c>
      <c r="G12" s="128">
        <f>C27+C28*5/7+C29*4/9</f>
        <v>371916.19047619</v>
      </c>
      <c r="H12" s="128">
        <f>'光伏发电衰减表 输入数据'!U32</f>
        <v>77665.1733</v>
      </c>
      <c r="I12" s="134">
        <f t="shared" si="0"/>
        <v>1</v>
      </c>
      <c r="K12" s="128" t="s">
        <v>189</v>
      </c>
      <c r="L12" s="135">
        <v>0.8</v>
      </c>
    </row>
    <row r="13" customHeight="1" spans="1:12">
      <c r="A13" s="129"/>
      <c r="B13" s="122" t="s">
        <v>180</v>
      </c>
      <c r="C13" s="130">
        <v>313120</v>
      </c>
      <c r="F13" s="127">
        <v>10</v>
      </c>
      <c r="G13" s="128">
        <f>C30+C31*5/7+C32*4/9</f>
        <v>343503.492063492</v>
      </c>
      <c r="H13" s="128">
        <f>'光伏发电衰减表 输入数据'!U33</f>
        <v>50246.491515</v>
      </c>
      <c r="I13" s="134">
        <f t="shared" si="0"/>
        <v>1</v>
      </c>
      <c r="K13" s="128" t="s">
        <v>190</v>
      </c>
      <c r="L13" s="135">
        <v>0.77</v>
      </c>
    </row>
    <row r="14" customHeight="1" spans="1:12">
      <c r="A14" s="131"/>
      <c r="B14" s="122" t="s">
        <v>181</v>
      </c>
      <c r="C14" s="130">
        <v>295040</v>
      </c>
      <c r="F14" s="127">
        <v>11</v>
      </c>
      <c r="G14" s="128">
        <f>C33+C34*5/7+C35*4/9</f>
        <v>300897.777777778</v>
      </c>
      <c r="H14" s="128">
        <f>'光伏发电衰减表 输入数据'!U34</f>
        <v>42680.92455</v>
      </c>
      <c r="I14" s="134">
        <f t="shared" si="0"/>
        <v>1</v>
      </c>
      <c r="K14" s="128" t="s">
        <v>191</v>
      </c>
      <c r="L14" s="135">
        <v>0.74</v>
      </c>
    </row>
    <row r="15" customHeight="1" spans="1:12">
      <c r="A15" s="125" t="s">
        <v>43</v>
      </c>
      <c r="B15" s="122" t="s">
        <v>177</v>
      </c>
      <c r="C15" s="130">
        <v>27440</v>
      </c>
      <c r="F15" s="127">
        <v>12</v>
      </c>
      <c r="G15" s="128">
        <f>C36+C37*5/7+C38*4/9</f>
        <v>381104.761904762</v>
      </c>
      <c r="H15" s="128">
        <f>'光伏发电衰减表 输入数据'!U35</f>
        <v>34167.038895</v>
      </c>
      <c r="I15" s="134">
        <f t="shared" si="0"/>
        <v>1</v>
      </c>
      <c r="K15" s="128" t="s">
        <v>192</v>
      </c>
      <c r="L15" s="135">
        <v>0.71</v>
      </c>
    </row>
    <row r="16" customHeight="1" spans="1:12">
      <c r="A16" s="129"/>
      <c r="B16" s="122" t="s">
        <v>180</v>
      </c>
      <c r="C16" s="130">
        <v>262480</v>
      </c>
      <c r="F16" s="127" t="s">
        <v>52</v>
      </c>
      <c r="G16" s="128">
        <f>SUM(G4:G15)</f>
        <v>4042215.87301587</v>
      </c>
      <c r="H16" s="128">
        <f>SUM(H4:H15)</f>
        <v>864834.100845</v>
      </c>
      <c r="I16" s="136">
        <f>AVERAGE(I4:I15)</f>
        <v>1</v>
      </c>
      <c r="K16" s="128" t="s">
        <v>193</v>
      </c>
      <c r="L16" s="135">
        <v>0.68</v>
      </c>
    </row>
    <row r="17" customHeight="1" spans="1:3">
      <c r="A17" s="131"/>
      <c r="B17" s="122" t="s">
        <v>181</v>
      </c>
      <c r="C17" s="130">
        <v>278400</v>
      </c>
    </row>
    <row r="18" customHeight="1" spans="1:3">
      <c r="A18" s="125" t="s">
        <v>44</v>
      </c>
      <c r="B18" s="122" t="s">
        <v>177</v>
      </c>
      <c r="C18" s="130">
        <v>28640</v>
      </c>
    </row>
    <row r="19" customHeight="1" spans="1:13">
      <c r="A19" s="129"/>
      <c r="B19" s="122" t="s">
        <v>180</v>
      </c>
      <c r="C19" s="130">
        <v>247840</v>
      </c>
      <c r="F19" s="132" t="s">
        <v>194</v>
      </c>
      <c r="G19" s="122"/>
      <c r="H19" s="122"/>
      <c r="I19" s="122"/>
      <c r="K19" s="137" t="s">
        <v>195</v>
      </c>
      <c r="L19" s="128"/>
      <c r="M19" s="128"/>
    </row>
    <row r="20" customHeight="1" spans="1:13">
      <c r="A20" s="131"/>
      <c r="B20" s="122" t="s">
        <v>181</v>
      </c>
      <c r="C20" s="130">
        <v>267840</v>
      </c>
      <c r="F20" s="127" t="s">
        <v>32</v>
      </c>
      <c r="G20" s="127" t="s">
        <v>178</v>
      </c>
      <c r="H20" s="127" t="s">
        <v>179</v>
      </c>
      <c r="I20" s="127" t="s">
        <v>75</v>
      </c>
      <c r="K20" s="128"/>
      <c r="L20" s="128"/>
      <c r="M20" s="128"/>
    </row>
    <row r="21" customHeight="1" spans="1:9">
      <c r="A21" s="125" t="s">
        <v>45</v>
      </c>
      <c r="B21" s="122" t="s">
        <v>177</v>
      </c>
      <c r="C21" s="130">
        <v>126560</v>
      </c>
      <c r="F21" s="122">
        <v>1</v>
      </c>
      <c r="G21" s="128">
        <f>$L$22*$L$23*$L$24*31</f>
        <v>133920</v>
      </c>
      <c r="H21" s="128">
        <f>'光伏发电衰减表 输入数据'!U24</f>
        <v>38818.21581</v>
      </c>
      <c r="I21" s="134">
        <f>G21/H21</f>
        <v>3.44992672140023</v>
      </c>
    </row>
    <row r="22" customHeight="1" spans="1:12">
      <c r="A22" s="129"/>
      <c r="B22" s="122" t="s">
        <v>180</v>
      </c>
      <c r="C22" s="130">
        <v>160240</v>
      </c>
      <c r="F22" s="122">
        <v>2</v>
      </c>
      <c r="G22" s="128">
        <f>$L$22*$L$23*$L$24*28</f>
        <v>120960</v>
      </c>
      <c r="H22" s="128">
        <f>'光伏发电衰减表 输入数据'!U25</f>
        <v>49334.5545</v>
      </c>
      <c r="I22" s="134">
        <f t="shared" ref="I22:I33" si="1">G22/H22</f>
        <v>2.45183120078646</v>
      </c>
      <c r="K22" s="128" t="s">
        <v>196</v>
      </c>
      <c r="L22" s="138">
        <v>600</v>
      </c>
    </row>
    <row r="23" customHeight="1" spans="1:12">
      <c r="A23" s="131"/>
      <c r="B23" s="122" t="s">
        <v>181</v>
      </c>
      <c r="C23" s="130">
        <v>284560</v>
      </c>
      <c r="F23" s="122">
        <v>3</v>
      </c>
      <c r="G23" s="128">
        <f>$L$22*$L$23*$L$24*31</f>
        <v>133920</v>
      </c>
      <c r="H23" s="128">
        <f>'光伏发电衰减表 输入数据'!U26</f>
        <v>73871.193165</v>
      </c>
      <c r="I23" s="134">
        <f t="shared" si="1"/>
        <v>1.81288529753234</v>
      </c>
      <c r="K23" s="128" t="s">
        <v>197</v>
      </c>
      <c r="L23" s="139">
        <v>0.8</v>
      </c>
    </row>
    <row r="24" customHeight="1" spans="1:12">
      <c r="A24" s="125" t="s">
        <v>46</v>
      </c>
      <c r="B24" s="122" t="s">
        <v>177</v>
      </c>
      <c r="C24" s="130">
        <v>142480</v>
      </c>
      <c r="F24" s="122">
        <v>4</v>
      </c>
      <c r="G24" s="128">
        <f>$L$22*$L$23*$L$24*30</f>
        <v>129600</v>
      </c>
      <c r="H24" s="128">
        <f>'光伏发电衰减表 输入数据'!U27</f>
        <v>87352.98165</v>
      </c>
      <c r="I24" s="134">
        <f t="shared" si="1"/>
        <v>1.4836356762185</v>
      </c>
      <c r="K24" s="128" t="s">
        <v>198</v>
      </c>
      <c r="L24" s="138">
        <v>9</v>
      </c>
    </row>
    <row r="25" customHeight="1" spans="1:9">
      <c r="A25" s="129"/>
      <c r="B25" s="122" t="s">
        <v>180</v>
      </c>
      <c r="C25" s="130">
        <v>184160</v>
      </c>
      <c r="F25" s="122">
        <v>5</v>
      </c>
      <c r="G25" s="128">
        <f>$L$22*$L$23*$L$24*31</f>
        <v>133920</v>
      </c>
      <c r="H25" s="128">
        <f>'光伏发电衰减表 输入数据'!U28</f>
        <v>93734.640945</v>
      </c>
      <c r="I25" s="134">
        <f t="shared" si="1"/>
        <v>1.42871406611115</v>
      </c>
    </row>
    <row r="26" customHeight="1" spans="1:9">
      <c r="A26" s="131"/>
      <c r="B26" s="122" t="s">
        <v>181</v>
      </c>
      <c r="C26" s="130">
        <v>313360</v>
      </c>
      <c r="F26" s="122">
        <v>6</v>
      </c>
      <c r="G26" s="128">
        <f>$L$22*$L$23*$L$24*30</f>
        <v>129600</v>
      </c>
      <c r="H26" s="128">
        <f>'光伏发电衰减表 输入数据'!U29</f>
        <v>86124.31245</v>
      </c>
      <c r="I26" s="134">
        <f t="shared" si="1"/>
        <v>1.50480156315024</v>
      </c>
    </row>
    <row r="27" customHeight="1" spans="1:9">
      <c r="A27" s="125" t="s">
        <v>47</v>
      </c>
      <c r="B27" s="122" t="s">
        <v>177</v>
      </c>
      <c r="C27" s="130">
        <v>127440</v>
      </c>
      <c r="F27" s="122">
        <v>7</v>
      </c>
      <c r="G27" s="128">
        <f>$L$22*$L$23*$L$24*31</f>
        <v>133920</v>
      </c>
      <c r="H27" s="128">
        <f>'光伏发电衰减表 输入数据'!U30</f>
        <v>117551.380155</v>
      </c>
      <c r="I27" s="134">
        <f t="shared" si="1"/>
        <v>1.13924651351109</v>
      </c>
    </row>
    <row r="28" customHeight="1" spans="1:9">
      <c r="A28" s="129"/>
      <c r="B28" s="122" t="s">
        <v>180</v>
      </c>
      <c r="C28" s="130">
        <v>166800</v>
      </c>
      <c r="F28" s="122">
        <v>8</v>
      </c>
      <c r="G28" s="128">
        <f>$L$22*$L$23*$L$24*31</f>
        <v>133920</v>
      </c>
      <c r="H28" s="128">
        <f>'光伏发电衰减表 输入数据'!U31</f>
        <v>113287.19391</v>
      </c>
      <c r="I28" s="134">
        <f t="shared" si="1"/>
        <v>1.18212831810797</v>
      </c>
    </row>
    <row r="29" customHeight="1" spans="1:9">
      <c r="A29" s="131"/>
      <c r="B29" s="122" t="s">
        <v>181</v>
      </c>
      <c r="C29" s="130">
        <v>282000</v>
      </c>
      <c r="F29" s="122">
        <v>9</v>
      </c>
      <c r="G29" s="128">
        <f>$L$22*$L$23*$L$24*30</f>
        <v>129600</v>
      </c>
      <c r="H29" s="128">
        <f>'光伏发电衰减表 输入数据'!U32</f>
        <v>77665.1733</v>
      </c>
      <c r="I29" s="134">
        <f t="shared" si="1"/>
        <v>1.66870161351974</v>
      </c>
    </row>
    <row r="30" customHeight="1" spans="1:9">
      <c r="A30" s="125" t="s">
        <v>48</v>
      </c>
      <c r="B30" s="122" t="s">
        <v>177</v>
      </c>
      <c r="C30" s="130">
        <v>12320</v>
      </c>
      <c r="F30" s="122">
        <v>10</v>
      </c>
      <c r="G30" s="128">
        <f>$L$22*$L$23*$L$24*31</f>
        <v>133920</v>
      </c>
      <c r="H30" s="128">
        <f>'光伏发电衰减表 输入数据'!U33</f>
        <v>50246.491515</v>
      </c>
      <c r="I30" s="134">
        <f t="shared" si="1"/>
        <v>2.66526071696013</v>
      </c>
    </row>
    <row r="31" customHeight="1" spans="1:9">
      <c r="A31" s="129"/>
      <c r="B31" s="122" t="s">
        <v>180</v>
      </c>
      <c r="C31" s="130">
        <v>286000</v>
      </c>
      <c r="F31" s="122">
        <v>11</v>
      </c>
      <c r="G31" s="128">
        <f>$L$22*$L$23*$L$24*30</f>
        <v>129600</v>
      </c>
      <c r="H31" s="128">
        <f>'光伏发电衰减表 输入数据'!U34</f>
        <v>42680.92455</v>
      </c>
      <c r="I31" s="134">
        <f t="shared" si="1"/>
        <v>3.03648530031667</v>
      </c>
    </row>
    <row r="32" customHeight="1" spans="1:9">
      <c r="A32" s="131"/>
      <c r="B32" s="122" t="s">
        <v>181</v>
      </c>
      <c r="C32" s="130">
        <v>285520</v>
      </c>
      <c r="F32" s="122">
        <v>12</v>
      </c>
      <c r="G32" s="128">
        <f>$L$22*$L$23*$L$24*31</f>
        <v>133920</v>
      </c>
      <c r="H32" s="128">
        <f>'光伏发电衰减表 输入数据'!U35</f>
        <v>34167.038895</v>
      </c>
      <c r="I32" s="134">
        <f t="shared" si="1"/>
        <v>3.91956705442209</v>
      </c>
    </row>
    <row r="33" customHeight="1" spans="1:9">
      <c r="A33" s="125" t="s">
        <v>49</v>
      </c>
      <c r="B33" s="122" t="s">
        <v>177</v>
      </c>
      <c r="C33" s="130">
        <v>0</v>
      </c>
      <c r="F33" s="132" t="s">
        <v>52</v>
      </c>
      <c r="G33" s="128">
        <f>SUM(G21:G32)</f>
        <v>1576800</v>
      </c>
      <c r="H33" s="128">
        <f>SUM(H21:H32)</f>
        <v>864834.100845</v>
      </c>
      <c r="I33" s="136">
        <f t="shared" si="1"/>
        <v>1.82323985427883</v>
      </c>
    </row>
    <row r="34" customHeight="1" spans="1:3">
      <c r="A34" s="129"/>
      <c r="B34" s="122" t="s">
        <v>180</v>
      </c>
      <c r="C34" s="130">
        <v>266000</v>
      </c>
    </row>
    <row r="35" customHeight="1" spans="1:3">
      <c r="A35" s="131"/>
      <c r="B35" s="122" t="s">
        <v>181</v>
      </c>
      <c r="C35" s="130">
        <v>249520</v>
      </c>
    </row>
    <row r="36" customHeight="1" spans="1:3">
      <c r="A36" s="125" t="s">
        <v>50</v>
      </c>
      <c r="B36" s="122" t="s">
        <v>177</v>
      </c>
      <c r="C36" s="130">
        <v>0</v>
      </c>
    </row>
    <row r="37" customHeight="1" spans="1:3">
      <c r="A37" s="129"/>
      <c r="B37" s="122" t="s">
        <v>180</v>
      </c>
      <c r="C37" s="130">
        <v>333440</v>
      </c>
    </row>
    <row r="38" customHeight="1" spans="1:3">
      <c r="A38" s="131"/>
      <c r="B38" s="122" t="s">
        <v>181</v>
      </c>
      <c r="C38" s="130">
        <v>321600</v>
      </c>
    </row>
  </sheetData>
  <mergeCells count="16">
    <mergeCell ref="B2:C2"/>
    <mergeCell ref="F2:I2"/>
    <mergeCell ref="F19:I19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K19:M20"/>
  </mergeCells>
  <pageMargins left="0.75" right="0.75" top="1" bottom="1" header="0.5" footer="0.5"/>
  <headerFooter/>
  <ignoredErrors>
    <ignoredError sqref="G31 G29 G26 G24 G2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69"/>
  <sheetViews>
    <sheetView zoomScale="115" zoomScaleNormal="115" workbookViewId="0">
      <selection activeCell="G29" sqref="G29"/>
    </sheetView>
  </sheetViews>
  <sheetFormatPr defaultColWidth="9" defaultRowHeight="14.25"/>
  <cols>
    <col min="2" max="2" width="4.5" customWidth="1"/>
    <col min="3" max="3" width="13.5" customWidth="1"/>
    <col min="4" max="4" width="16.25" customWidth="1"/>
    <col min="5" max="5" width="16" style="1" customWidth="1"/>
    <col min="6" max="7" width="16.5" customWidth="1"/>
    <col min="8" max="8" width="12" customWidth="1"/>
    <col min="9" max="9" width="5.125" customWidth="1"/>
    <col min="10" max="11" width="10.625" customWidth="1"/>
    <col min="12" max="12" width="8.625" customWidth="1"/>
    <col min="13" max="13" width="9.625" customWidth="1"/>
    <col min="14" max="16" width="14.5" customWidth="1"/>
    <col min="19" max="19" width="13.875" customWidth="1"/>
    <col min="21" max="22" width="15.625" customWidth="1"/>
    <col min="23" max="23" width="13.875" customWidth="1"/>
  </cols>
  <sheetData>
    <row r="2" ht="17.25" spans="2:10">
      <c r="B2" s="33" t="s">
        <v>199</v>
      </c>
      <c r="C2" s="33"/>
      <c r="D2" s="33"/>
      <c r="E2" s="98"/>
      <c r="F2" s="33"/>
      <c r="G2" s="33"/>
      <c r="H2" s="99"/>
      <c r="J2" s="119" t="s">
        <v>14</v>
      </c>
    </row>
    <row r="3" ht="16.5" spans="2:10">
      <c r="B3" s="100" t="s">
        <v>86</v>
      </c>
      <c r="C3" s="100" t="s">
        <v>38</v>
      </c>
      <c r="D3" s="100" t="s">
        <v>200</v>
      </c>
      <c r="E3" s="101" t="s">
        <v>201</v>
      </c>
      <c r="F3" s="100" t="s">
        <v>94</v>
      </c>
      <c r="G3" s="101" t="s">
        <v>202</v>
      </c>
      <c r="J3" s="120" t="str" cm="1">
        <f t="array" ref="J3">_xlfn.LET(_xlpm.年份列,B4:B29,_xlpm.净利列,F4:F29,_xlpm.累计列,G4:G29,_xlpm.i,_xlfn.XMATCH(TRUE,_xlpm.累计列&gt;0,0),_xlpm.回本月,-INDEX(_xlpm.累计列,_xlpm.i-1)/(INDEX(_xlpm.净利列,_xlpm.i-1)/12),_xlpm.回本年,INDEX(_xlpm.年份列,_xlpm.i-1),"第"&amp;INT(_xlpm.回本年)&amp;"年"&amp;ROUND(MOD(_xlpm.回本年+_xlpm.回本月/12,1)*12,0)&amp;"个月")</f>
        <v>第4年2个月</v>
      </c>
    </row>
    <row r="4" ht="16.5" spans="2:10">
      <c r="B4" s="102">
        <v>0</v>
      </c>
      <c r="C4" s="103">
        <v>0</v>
      </c>
      <c r="D4" s="103">
        <v>0</v>
      </c>
      <c r="E4" s="104">
        <f>基础数据!H7</f>
        <v>2000000</v>
      </c>
      <c r="F4" s="105">
        <f>-E4</f>
        <v>-2000000</v>
      </c>
      <c r="G4" s="105">
        <f>F4</f>
        <v>-2000000</v>
      </c>
      <c r="H4" s="24"/>
      <c r="J4" s="121"/>
    </row>
    <row r="5" ht="16.5" spans="2:8">
      <c r="B5" s="102">
        <v>1</v>
      </c>
      <c r="C5" s="106">
        <f>'光伏发电衰减表 输入数据'!D6</f>
        <v>864834.100845</v>
      </c>
      <c r="D5" s="106">
        <f>'光伏发电衰减表 输入数据'!G6</f>
        <v>557610.396908688</v>
      </c>
      <c r="E5" s="104">
        <v>0</v>
      </c>
      <c r="F5" s="107">
        <f>'光伏发电衰减表 输入数据'!M6</f>
        <v>522704.73653133</v>
      </c>
      <c r="G5" s="105">
        <f>G4+F5</f>
        <v>-1477295.26346867</v>
      </c>
      <c r="H5" s="26"/>
    </row>
    <row r="6" ht="16.5" spans="2:8">
      <c r="B6" s="102">
        <v>2</v>
      </c>
      <c r="C6" s="106">
        <f>'光伏发电衰减表 输入数据'!D7</f>
        <v>861339.821649667</v>
      </c>
      <c r="D6" s="106">
        <f>'光伏发电衰减表 输入数据'!G7</f>
        <v>555357.425608047</v>
      </c>
      <c r="E6" s="104">
        <v>0</v>
      </c>
      <c r="F6" s="107">
        <f>'光伏发电衰减表 输入数据'!M7</f>
        <v>520451.765230689</v>
      </c>
      <c r="G6" s="105">
        <f>F6+G5</f>
        <v>-956843.498237981</v>
      </c>
      <c r="H6" s="26"/>
    </row>
    <row r="7" ht="16.5" spans="2:8">
      <c r="B7" s="102">
        <v>3</v>
      </c>
      <c r="C7" s="106">
        <f>'光伏发电衰减表 输入数据'!D8</f>
        <v>857845.542454333</v>
      </c>
      <c r="D7" s="106">
        <f>'光伏发电衰减表 输入数据'!G8</f>
        <v>553104.454307406</v>
      </c>
      <c r="E7" s="104">
        <v>0</v>
      </c>
      <c r="F7" s="107">
        <f>'光伏发电衰减表 输入数据'!M8</f>
        <v>444592.310904068</v>
      </c>
      <c r="G7" s="105">
        <f t="shared" ref="G7:G34" si="0">F7+G6</f>
        <v>-512251.187333913</v>
      </c>
      <c r="H7" s="1">
        <f>F9/12</f>
        <v>36725.3416104501</v>
      </c>
    </row>
    <row r="8" ht="16.5" spans="2:8">
      <c r="B8" s="108">
        <v>4</v>
      </c>
      <c r="C8" s="109">
        <f>'光伏发电衰减表 输入数据'!D9</f>
        <v>854351.263259</v>
      </c>
      <c r="D8" s="109">
        <f>'光伏发电衰减表 输入数据'!G9</f>
        <v>550851.483006765</v>
      </c>
      <c r="E8" s="110">
        <v>0</v>
      </c>
      <c r="F8" s="111">
        <f>'光伏发电衰减表 输入数据'!M9</f>
        <v>442648.205114735</v>
      </c>
      <c r="G8" s="112">
        <f t="shared" si="0"/>
        <v>-69602.9822191781</v>
      </c>
      <c r="H8" s="26"/>
    </row>
    <row r="9" ht="16.5" spans="2:8">
      <c r="B9" s="113">
        <v>5</v>
      </c>
      <c r="C9" s="114">
        <f>'光伏发电衰减表 输入数据'!D10</f>
        <v>850856.984063667</v>
      </c>
      <c r="D9" s="114">
        <f>'光伏发电衰减表 输入数据'!G10</f>
        <v>548598.511706124</v>
      </c>
      <c r="E9" s="115">
        <v>0</v>
      </c>
      <c r="F9" s="116">
        <f>'光伏发电衰减表 输入数据'!M10</f>
        <v>440704.099325401</v>
      </c>
      <c r="G9" s="117">
        <f t="shared" si="0"/>
        <v>371101.117106223</v>
      </c>
      <c r="H9" s="26"/>
    </row>
    <row r="10" ht="16.5" spans="2:8">
      <c r="B10" s="102">
        <v>6</v>
      </c>
      <c r="C10" s="106">
        <f>'光伏发电衰减表 输入数据'!D11</f>
        <v>847362.704868333</v>
      </c>
      <c r="D10" s="106">
        <f>'光伏发电衰减表 输入数据'!G11</f>
        <v>546345.540405483</v>
      </c>
      <c r="E10" s="104">
        <v>0</v>
      </c>
      <c r="F10" s="107">
        <f>'光伏发电衰减表 输入数据'!M11</f>
        <v>438759.993536067</v>
      </c>
      <c r="G10" s="105">
        <f t="shared" si="0"/>
        <v>809861.11064229</v>
      </c>
      <c r="H10" s="1">
        <f>G8/H7</f>
        <v>-1.89523035503563</v>
      </c>
    </row>
    <row r="11" ht="16.5" spans="2:8">
      <c r="B11" s="102">
        <v>7</v>
      </c>
      <c r="C11" s="106">
        <f>'光伏发电衰减表 输入数据'!D12</f>
        <v>843868.425673</v>
      </c>
      <c r="D11" s="106">
        <f>'光伏发电衰减表 输入数据'!G12</f>
        <v>544092.569104842</v>
      </c>
      <c r="E11" s="104">
        <v>0</v>
      </c>
      <c r="F11" s="107">
        <f>'光伏发电衰减表 输入数据'!M12</f>
        <v>436815.887746734</v>
      </c>
      <c r="G11" s="105">
        <f t="shared" si="0"/>
        <v>1246676.99838902</v>
      </c>
      <c r="H11" s="26"/>
    </row>
    <row r="12" ht="16.5" spans="2:8">
      <c r="B12" s="102">
        <v>8</v>
      </c>
      <c r="C12" s="106">
        <f>'光伏发电衰减表 输入数据'!D13</f>
        <v>840374.146477667</v>
      </c>
      <c r="D12" s="106">
        <f>'光伏发电衰减表 输入数据'!G13</f>
        <v>541839.5978042</v>
      </c>
      <c r="E12" s="104">
        <v>0</v>
      </c>
      <c r="F12" s="107">
        <f>'光伏发电衰减表 输入数据'!M13</f>
        <v>434871.7819574</v>
      </c>
      <c r="G12" s="105">
        <f t="shared" si="0"/>
        <v>1681548.78034642</v>
      </c>
      <c r="H12" s="26"/>
    </row>
    <row r="13" ht="16.5" spans="2:8">
      <c r="B13" s="102">
        <v>9</v>
      </c>
      <c r="C13" s="106">
        <f>'光伏发电衰减表 输入数据'!D14</f>
        <v>836879.867282333</v>
      </c>
      <c r="D13" s="106">
        <f>'光伏发电衰减表 输入数据'!G14</f>
        <v>539586.626503559</v>
      </c>
      <c r="E13" s="104">
        <v>0</v>
      </c>
      <c r="F13" s="107">
        <f>'光伏发电衰减表 输入数据'!M14</f>
        <v>432927.676168066</v>
      </c>
      <c r="G13" s="105">
        <f t="shared" si="0"/>
        <v>2114476.45651449</v>
      </c>
      <c r="H13" s="26"/>
    </row>
    <row r="14" ht="16.5" spans="2:8">
      <c r="B14" s="102">
        <v>10</v>
      </c>
      <c r="C14" s="106">
        <f>'光伏发电衰减表 输入数据'!D15</f>
        <v>833385.588087</v>
      </c>
      <c r="D14" s="106">
        <f>'光伏发电衰减表 输入数据'!G15</f>
        <v>537333.655202918</v>
      </c>
      <c r="E14" s="104">
        <v>0</v>
      </c>
      <c r="F14" s="107">
        <f>'光伏发电衰减表 输入数据'!M15</f>
        <v>430983.570378732</v>
      </c>
      <c r="G14" s="105">
        <f t="shared" si="0"/>
        <v>2545460.02689322</v>
      </c>
      <c r="H14" s="26"/>
    </row>
    <row r="15" ht="16.5" spans="2:8">
      <c r="B15" s="102">
        <v>11</v>
      </c>
      <c r="C15" s="106">
        <f>'光伏发电衰减表 输入数据'!D16</f>
        <v>829891.308891667</v>
      </c>
      <c r="D15" s="106">
        <f>'光伏发电衰减表 输入数据'!G16</f>
        <v>535080.683902277</v>
      </c>
      <c r="E15" s="104">
        <v>0</v>
      </c>
      <c r="F15" s="107">
        <f>'光伏发电衰减表 输入数据'!M16</f>
        <v>429039.464589399</v>
      </c>
      <c r="G15" s="105">
        <f t="shared" si="0"/>
        <v>2974499.49148262</v>
      </c>
      <c r="H15" s="26"/>
    </row>
    <row r="16" ht="16.5" spans="2:8">
      <c r="B16" s="102">
        <v>12</v>
      </c>
      <c r="C16" s="106">
        <f>'光伏发电衰减表 输入数据'!D17</f>
        <v>826397.029696333</v>
      </c>
      <c r="D16" s="106">
        <f>'光伏发电衰减表 输入数据'!G17</f>
        <v>532827.712601636</v>
      </c>
      <c r="E16" s="104">
        <v>0</v>
      </c>
      <c r="F16" s="107">
        <f>'光伏发电衰减表 输入数据'!M17</f>
        <v>427095.358800065</v>
      </c>
      <c r="G16" s="105">
        <f t="shared" si="0"/>
        <v>3401594.85028269</v>
      </c>
      <c r="H16" s="26"/>
    </row>
    <row r="17" ht="16.5" spans="2:8">
      <c r="B17" s="102">
        <v>13</v>
      </c>
      <c r="C17" s="106">
        <f>'光伏发电衰减表 输入数据'!D18</f>
        <v>822902.750501</v>
      </c>
      <c r="D17" s="106">
        <f>'光伏发电衰减表 输入数据'!G18</f>
        <v>530574.741300995</v>
      </c>
      <c r="E17" s="104">
        <v>0</v>
      </c>
      <c r="F17" s="107">
        <f>'光伏发电衰减表 输入数据'!M18</f>
        <v>425151.253010731</v>
      </c>
      <c r="G17" s="105">
        <f t="shared" si="0"/>
        <v>3826746.10329342</v>
      </c>
      <c r="H17" s="26"/>
    </row>
    <row r="18" ht="16.5" spans="2:8">
      <c r="B18" s="102">
        <v>14</v>
      </c>
      <c r="C18" s="106">
        <f>'光伏发电衰减表 输入数据'!D19</f>
        <v>819408.471305667</v>
      </c>
      <c r="D18" s="106">
        <f>'光伏发电衰减表 输入数据'!G19</f>
        <v>528321.770000354</v>
      </c>
      <c r="E18" s="104">
        <v>0</v>
      </c>
      <c r="F18" s="107">
        <f>'光伏发电衰减表 输入数据'!M19</f>
        <v>423207.147221398</v>
      </c>
      <c r="G18" s="105">
        <f t="shared" si="0"/>
        <v>4249953.25051481</v>
      </c>
      <c r="H18" s="26"/>
    </row>
    <row r="19" ht="16.5" spans="2:8">
      <c r="B19" s="102">
        <v>15</v>
      </c>
      <c r="C19" s="106">
        <f>'光伏发电衰减表 输入数据'!D20</f>
        <v>815914.192110333</v>
      </c>
      <c r="D19" s="106">
        <f>'光伏发电衰减表 输入数据'!G20</f>
        <v>526068.798699712</v>
      </c>
      <c r="E19" s="104">
        <v>0</v>
      </c>
      <c r="F19" s="107">
        <f>'光伏发电衰减表 输入数据'!M20</f>
        <v>421263.041432064</v>
      </c>
      <c r="G19" s="105">
        <f t="shared" si="0"/>
        <v>4671216.29194688</v>
      </c>
      <c r="H19" s="26"/>
    </row>
    <row r="20" ht="16.5" spans="2:8">
      <c r="B20" s="102">
        <v>16</v>
      </c>
      <c r="C20" s="106">
        <f>'光伏发电衰减表 输入数据'!D21</f>
        <v>812419.912915</v>
      </c>
      <c r="D20" s="106">
        <f>'光伏发电衰减表 输入数据'!G21</f>
        <v>523815.827399071</v>
      </c>
      <c r="E20" s="104">
        <v>0</v>
      </c>
      <c r="F20" s="107">
        <f>'光伏发电衰减表 输入数据'!M21</f>
        <v>419318.93564273</v>
      </c>
      <c r="G20" s="105">
        <f t="shared" si="0"/>
        <v>5090535.22758961</v>
      </c>
      <c r="H20" s="26"/>
    </row>
    <row r="21" ht="16.5" spans="2:8">
      <c r="B21" s="102">
        <v>17</v>
      </c>
      <c r="C21" s="106">
        <f>'光伏发电衰减表 输入数据'!D22</f>
        <v>808925.633719667</v>
      </c>
      <c r="D21" s="106">
        <f>'光伏发电衰减表 输入数据'!G22</f>
        <v>521562.85609843</v>
      </c>
      <c r="E21" s="104">
        <v>0</v>
      </c>
      <c r="F21" s="107">
        <f>'光伏发电衰减表 输入数据'!M22</f>
        <v>417374.829853396</v>
      </c>
      <c r="G21" s="105">
        <f t="shared" si="0"/>
        <v>5507910.05744301</v>
      </c>
      <c r="H21" s="26"/>
    </row>
    <row r="22" ht="16.5" spans="2:8">
      <c r="B22" s="102">
        <v>18</v>
      </c>
      <c r="C22" s="106">
        <f>'光伏发电衰减表 输入数据'!D23</f>
        <v>805431.354524333</v>
      </c>
      <c r="D22" s="106">
        <f>'光伏发电衰减表 输入数据'!G23</f>
        <v>519309.884797789</v>
      </c>
      <c r="E22" s="104">
        <v>0</v>
      </c>
      <c r="F22" s="107">
        <f>'光伏发电衰减表 输入数据'!M23</f>
        <v>415430.724064063</v>
      </c>
      <c r="G22" s="105">
        <f t="shared" si="0"/>
        <v>5923340.78150707</v>
      </c>
      <c r="H22" s="26"/>
    </row>
    <row r="23" ht="16.5" spans="2:8">
      <c r="B23" s="102">
        <v>19</v>
      </c>
      <c r="C23" s="106">
        <f>'光伏发电衰减表 输入数据'!D24</f>
        <v>801937.075329</v>
      </c>
      <c r="D23" s="106">
        <f>'光伏发电衰减表 输入数据'!G24</f>
        <v>517056.913497148</v>
      </c>
      <c r="E23" s="104">
        <v>0</v>
      </c>
      <c r="F23" s="107">
        <f>'光伏发电衰减表 输入数据'!M24</f>
        <v>413486.618274729</v>
      </c>
      <c r="G23" s="105">
        <f t="shared" si="0"/>
        <v>6336827.3997818</v>
      </c>
      <c r="H23" s="26"/>
    </row>
    <row r="24" ht="16.5" spans="2:8">
      <c r="B24" s="102">
        <v>20</v>
      </c>
      <c r="C24" s="106">
        <f>'光伏发电衰减表 输入数据'!D25</f>
        <v>798442.796133667</v>
      </c>
      <c r="D24" s="106">
        <f>'光伏发电衰减表 输入数据'!G25</f>
        <v>514803.942196506</v>
      </c>
      <c r="E24" s="104">
        <v>0</v>
      </c>
      <c r="F24" s="107">
        <f>'光伏发电衰减表 输入数据'!M25</f>
        <v>411542.512485395</v>
      </c>
      <c r="G24" s="105">
        <f t="shared" si="0"/>
        <v>6748369.91226719</v>
      </c>
      <c r="H24" s="26"/>
    </row>
    <row r="25" ht="16.5" spans="2:8">
      <c r="B25" s="102">
        <v>21</v>
      </c>
      <c r="C25" s="106">
        <f>'光伏发电衰减表 输入数据'!D26</f>
        <v>794948.516938333</v>
      </c>
      <c r="D25" s="106">
        <f>'光伏发电衰减表 输入数据'!G26</f>
        <v>512550.970895865</v>
      </c>
      <c r="E25" s="104">
        <v>0</v>
      </c>
      <c r="F25" s="107">
        <f>'光伏发电衰减表 输入数据'!M26</f>
        <v>409598.406696062</v>
      </c>
      <c r="G25" s="105">
        <f t="shared" si="0"/>
        <v>7157968.31896325</v>
      </c>
      <c r="H25" s="26"/>
    </row>
    <row r="26" ht="16.5" spans="2:8">
      <c r="B26" s="102">
        <v>22</v>
      </c>
      <c r="C26" s="106">
        <f>'光伏发电衰减表 输入数据'!D27</f>
        <v>791454.237743</v>
      </c>
      <c r="D26" s="106">
        <f>'光伏发电衰减表 输入数据'!G27</f>
        <v>510297.999595224</v>
      </c>
      <c r="E26" s="104">
        <v>0</v>
      </c>
      <c r="F26" s="107">
        <f>'光伏发电衰减表 输入数据'!M27</f>
        <v>407654.300906728</v>
      </c>
      <c r="G26" s="105">
        <f t="shared" si="0"/>
        <v>7565622.61986998</v>
      </c>
      <c r="H26" s="26"/>
    </row>
    <row r="27" ht="16.5" spans="2:8">
      <c r="B27" s="102">
        <v>23</v>
      </c>
      <c r="C27" s="106">
        <f>'光伏发电衰减表 输入数据'!D28</f>
        <v>787959.958547667</v>
      </c>
      <c r="D27" s="106">
        <f>'光伏发电衰减表 输入数据'!G28</f>
        <v>508045.028294583</v>
      </c>
      <c r="E27" s="104">
        <v>0</v>
      </c>
      <c r="F27" s="107">
        <f>'光伏发电衰减表 输入数据'!M28</f>
        <v>405710.195117394</v>
      </c>
      <c r="G27" s="105">
        <f t="shared" si="0"/>
        <v>7971332.81498738</v>
      </c>
      <c r="H27" s="26"/>
    </row>
    <row r="28" ht="16.5" spans="2:8">
      <c r="B28" s="102">
        <v>24</v>
      </c>
      <c r="C28" s="106">
        <f>'光伏发电衰减表 输入数据'!D29</f>
        <v>784465.679352333</v>
      </c>
      <c r="D28" s="106">
        <f>'光伏发电衰减表 输入数据'!G29</f>
        <v>505792.056993942</v>
      </c>
      <c r="E28" s="104">
        <v>0</v>
      </c>
      <c r="F28" s="107">
        <f>'光伏发电衰减表 输入数据'!M29</f>
        <v>403766.08932806</v>
      </c>
      <c r="G28" s="105">
        <f t="shared" si="0"/>
        <v>8375098.90431544</v>
      </c>
      <c r="H28" s="26"/>
    </row>
    <row r="29" ht="16.5" spans="2:8">
      <c r="B29" s="102">
        <v>25</v>
      </c>
      <c r="C29" s="106">
        <f>'光伏发电衰减表 输入数据'!D30</f>
        <v>780971.400157</v>
      </c>
      <c r="D29" s="106">
        <f>'光伏发电衰减表 输入数据'!G30</f>
        <v>503539.085693301</v>
      </c>
      <c r="E29" s="104">
        <v>0</v>
      </c>
      <c r="F29" s="107">
        <f>'光伏发电衰减表 输入数据'!M30</f>
        <v>401821.983538727</v>
      </c>
      <c r="G29" s="105">
        <f t="shared" si="0"/>
        <v>8776920.88785416</v>
      </c>
      <c r="H29" s="26"/>
    </row>
    <row r="30" ht="17.25" spans="2:7">
      <c r="B30" s="33"/>
      <c r="C30" s="33"/>
      <c r="D30" s="33"/>
      <c r="E30" s="33"/>
      <c r="F30" s="33" t="s">
        <v>203</v>
      </c>
      <c r="G30" s="118">
        <f>IRR(F4:F29)</f>
        <v>0.231592988561423</v>
      </c>
    </row>
    <row r="31" spans="2:7">
      <c r="B31" s="41"/>
      <c r="C31" s="41"/>
      <c r="D31" s="41"/>
      <c r="E31" s="41"/>
      <c r="F31" s="41"/>
      <c r="G31" s="41"/>
    </row>
    <row r="34" spans="6:6">
      <c r="F34" s="24"/>
    </row>
    <row r="45" spans="6:6">
      <c r="F45" s="19">
        <v>1126395.7746534</v>
      </c>
    </row>
    <row r="46" spans="6:6">
      <c r="F46" s="19">
        <v>1102917.77020033</v>
      </c>
    </row>
    <row r="47" spans="6:6">
      <c r="F47" s="19">
        <v>1094230.9085527</v>
      </c>
    </row>
    <row r="48" spans="6:6">
      <c r="F48" s="19">
        <v>1085778.82694959</v>
      </c>
    </row>
    <row r="49" spans="6:6">
      <c r="F49" s="19">
        <v>1077444.13536875</v>
      </c>
    </row>
    <row r="50" spans="6:6">
      <c r="F50" s="19">
        <v>1069344.22383244</v>
      </c>
    </row>
    <row r="51" spans="6:6">
      <c r="F51" s="19">
        <v>1061479.09234067</v>
      </c>
    </row>
    <row r="52" spans="6:6">
      <c r="F52" s="19">
        <v>1053848.74089342</v>
      </c>
    </row>
    <row r="53" spans="6:6">
      <c r="F53" s="19">
        <v>1046335.77946844</v>
      </c>
    </row>
    <row r="54" spans="6:6">
      <c r="F54" s="19">
        <v>1038940.20806572</v>
      </c>
    </row>
    <row r="55" spans="6:6">
      <c r="F55" s="19">
        <v>1031896.8067298</v>
      </c>
    </row>
    <row r="56" spans="6:6">
      <c r="F56" s="19">
        <v>1024853.40539388</v>
      </c>
    </row>
    <row r="57" spans="6:6">
      <c r="F57" s="19">
        <v>1017927.39408022</v>
      </c>
    </row>
    <row r="58" spans="6:6">
      <c r="F58" s="19">
        <v>1011236.1628111</v>
      </c>
    </row>
    <row r="59" spans="6:6">
      <c r="F59" s="19">
        <v>1004662.32156424</v>
      </c>
    </row>
    <row r="60" spans="6:6">
      <c r="F60" s="19">
        <v>998205.870339647</v>
      </c>
    </row>
    <row r="61" spans="6:6">
      <c r="F61" s="19">
        <v>991866.809137319</v>
      </c>
    </row>
    <row r="62" spans="6:6">
      <c r="F62" s="19">
        <v>985645.137957256</v>
      </c>
    </row>
    <row r="63" spans="6:6">
      <c r="F63" s="19">
        <v>979658.246821723</v>
      </c>
    </row>
    <row r="64" spans="6:6">
      <c r="F64" s="19">
        <v>973788.745708456</v>
      </c>
    </row>
    <row r="65" spans="6:6">
      <c r="F65" s="19">
        <v>967919.244595189</v>
      </c>
    </row>
    <row r="66" spans="6:6">
      <c r="F66" s="19">
        <v>962284.523526453</v>
      </c>
    </row>
    <row r="67" spans="6:6">
      <c r="F67" s="19">
        <v>956649.802457717</v>
      </c>
    </row>
    <row r="68" spans="6:6">
      <c r="F68" s="19">
        <v>951249.861433511</v>
      </c>
    </row>
    <row r="69" spans="6:6">
      <c r="F69" s="19">
        <v>945967.310431571</v>
      </c>
    </row>
  </sheetData>
  <mergeCells count="3">
    <mergeCell ref="B2:G2"/>
    <mergeCell ref="B30:E30"/>
    <mergeCell ref="B31:G31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7:S57"/>
  <sheetViews>
    <sheetView workbookViewId="0">
      <selection activeCell="Q44" sqref="Q44"/>
    </sheetView>
  </sheetViews>
  <sheetFormatPr defaultColWidth="9" defaultRowHeight="14.25"/>
  <cols>
    <col min="7" max="7" width="5.5" customWidth="1"/>
    <col min="8" max="8" width="27" customWidth="1"/>
    <col min="9" max="9" width="19" customWidth="1"/>
    <col min="10" max="10" width="17.875" customWidth="1"/>
    <col min="11" max="11" width="14.875" customWidth="1"/>
    <col min="14" max="14" width="10.5" customWidth="1"/>
    <col min="15" max="15" width="22.875" customWidth="1"/>
    <col min="16" max="16" width="33.625" customWidth="1"/>
    <col min="17" max="17" width="19" customWidth="1"/>
    <col min="18" max="18" width="17.875" customWidth="1"/>
    <col min="19" max="19" width="14.875" customWidth="1"/>
  </cols>
  <sheetData>
    <row r="7" ht="15"/>
    <row r="8" ht="15.95" customHeight="1" spans="7:19">
      <c r="G8" s="82" t="s">
        <v>204</v>
      </c>
      <c r="H8" s="83" t="s">
        <v>205</v>
      </c>
      <c r="I8" s="87" t="s">
        <v>26</v>
      </c>
      <c r="M8" s="82" t="s">
        <v>204</v>
      </c>
      <c r="N8" s="83" t="s">
        <v>206</v>
      </c>
      <c r="O8" s="83" t="s">
        <v>207</v>
      </c>
      <c r="P8" s="83" t="s">
        <v>208</v>
      </c>
      <c r="Q8" s="83" t="s">
        <v>209</v>
      </c>
      <c r="R8" s="83" t="s">
        <v>7</v>
      </c>
      <c r="S8" s="87" t="s">
        <v>71</v>
      </c>
    </row>
    <row r="9" ht="15.95" customHeight="1" spans="7:19">
      <c r="G9" s="84">
        <v>1</v>
      </c>
      <c r="H9" s="33" t="s">
        <v>210</v>
      </c>
      <c r="I9" s="88" t="s">
        <v>211</v>
      </c>
      <c r="M9" s="84">
        <v>1</v>
      </c>
      <c r="N9" s="33" t="s">
        <v>212</v>
      </c>
      <c r="O9" s="33">
        <v>396</v>
      </c>
      <c r="P9" s="33">
        <v>585</v>
      </c>
      <c r="Q9" s="33">
        <f t="shared" ref="Q9:Q16" si="0">P9*O9/1000</f>
        <v>231.66</v>
      </c>
      <c r="R9" s="33">
        <v>2600</v>
      </c>
      <c r="S9" s="90">
        <f>R9*Q9</f>
        <v>602316</v>
      </c>
    </row>
    <row r="10" ht="15.95" customHeight="1" spans="7:19">
      <c r="G10" s="84">
        <v>2</v>
      </c>
      <c r="H10" s="33" t="s">
        <v>213</v>
      </c>
      <c r="I10" s="88" t="s">
        <v>214</v>
      </c>
      <c r="M10" s="84">
        <v>2</v>
      </c>
      <c r="N10" s="33" t="s">
        <v>215</v>
      </c>
      <c r="O10" s="33">
        <v>207</v>
      </c>
      <c r="P10" s="33">
        <v>585</v>
      </c>
      <c r="Q10" s="33">
        <f t="shared" si="0"/>
        <v>121.095</v>
      </c>
      <c r="R10" s="33">
        <v>2600</v>
      </c>
      <c r="S10" s="90">
        <f t="shared" ref="S10:S16" si="1">R10*Q10</f>
        <v>314847</v>
      </c>
    </row>
    <row r="11" ht="15.95" customHeight="1" spans="7:19">
      <c r="G11" s="84">
        <v>3</v>
      </c>
      <c r="H11" s="33" t="s">
        <v>216</v>
      </c>
      <c r="I11" s="88" t="s">
        <v>217</v>
      </c>
      <c r="M11" s="84">
        <v>3</v>
      </c>
      <c r="N11" s="33" t="s">
        <v>218</v>
      </c>
      <c r="O11" s="33">
        <v>216</v>
      </c>
      <c r="P11" s="33">
        <v>585</v>
      </c>
      <c r="Q11" s="33">
        <f t="shared" si="0"/>
        <v>126.36</v>
      </c>
      <c r="R11" s="33">
        <v>2600</v>
      </c>
      <c r="S11" s="90">
        <f t="shared" si="1"/>
        <v>328536</v>
      </c>
    </row>
    <row r="12" ht="15.95" customHeight="1" spans="7:19">
      <c r="G12" s="84">
        <v>4</v>
      </c>
      <c r="H12" s="33" t="s">
        <v>219</v>
      </c>
      <c r="I12" s="88" t="s">
        <v>220</v>
      </c>
      <c r="M12" s="84">
        <v>4</v>
      </c>
      <c r="N12" s="33" t="s">
        <v>221</v>
      </c>
      <c r="O12" s="33">
        <v>82</v>
      </c>
      <c r="P12" s="33">
        <v>585</v>
      </c>
      <c r="Q12" s="33">
        <f t="shared" si="0"/>
        <v>47.97</v>
      </c>
      <c r="R12" s="33">
        <v>2600</v>
      </c>
      <c r="S12" s="90">
        <f t="shared" si="1"/>
        <v>124722</v>
      </c>
    </row>
    <row r="13" ht="15.95" customHeight="1" spans="7:19">
      <c r="G13" s="85">
        <v>5</v>
      </c>
      <c r="H13" s="86" t="s">
        <v>222</v>
      </c>
      <c r="I13" s="89" t="s">
        <v>223</v>
      </c>
      <c r="M13" s="84">
        <v>5</v>
      </c>
      <c r="N13" s="33" t="s">
        <v>224</v>
      </c>
      <c r="O13" s="33">
        <v>612</v>
      </c>
      <c r="P13" s="33">
        <v>585</v>
      </c>
      <c r="Q13" s="33">
        <f t="shared" si="0"/>
        <v>358.02</v>
      </c>
      <c r="R13" s="33">
        <v>2600</v>
      </c>
      <c r="S13" s="90">
        <f t="shared" si="1"/>
        <v>930852</v>
      </c>
    </row>
    <row r="14" ht="15.95" customHeight="1" spans="7:19">
      <c r="G14" s="41"/>
      <c r="H14" s="41"/>
      <c r="I14" s="41"/>
      <c r="M14" s="84">
        <v>6</v>
      </c>
      <c r="N14" s="33" t="s">
        <v>225</v>
      </c>
      <c r="O14" s="33">
        <v>612</v>
      </c>
      <c r="P14" s="33">
        <v>585</v>
      </c>
      <c r="Q14" s="33">
        <f t="shared" si="0"/>
        <v>358.02</v>
      </c>
      <c r="R14" s="33">
        <v>2600</v>
      </c>
      <c r="S14" s="90">
        <f t="shared" si="1"/>
        <v>930852</v>
      </c>
    </row>
    <row r="15" ht="15.95" customHeight="1" spans="7:19">
      <c r="G15" s="82" t="s">
        <v>204</v>
      </c>
      <c r="H15" s="83" t="s">
        <v>216</v>
      </c>
      <c r="I15" s="83" t="s">
        <v>226</v>
      </c>
      <c r="J15" s="83" t="s">
        <v>227</v>
      </c>
      <c r="K15" s="87" t="s">
        <v>71</v>
      </c>
      <c r="M15" s="84">
        <v>7</v>
      </c>
      <c r="N15" s="33" t="s">
        <v>228</v>
      </c>
      <c r="O15" s="33">
        <v>612</v>
      </c>
      <c r="P15" s="33">
        <v>585</v>
      </c>
      <c r="Q15" s="33">
        <f t="shared" si="0"/>
        <v>358.02</v>
      </c>
      <c r="R15" s="33">
        <v>2600</v>
      </c>
      <c r="S15" s="90">
        <f t="shared" si="1"/>
        <v>930852</v>
      </c>
    </row>
    <row r="16" ht="15.95" customHeight="1" spans="7:19">
      <c r="G16" s="84">
        <v>1</v>
      </c>
      <c r="H16" s="33" t="s">
        <v>224</v>
      </c>
      <c r="I16" s="33">
        <v>1722.6</v>
      </c>
      <c r="J16" s="33">
        <v>138</v>
      </c>
      <c r="K16" s="90">
        <f>J16*I16</f>
        <v>237718.8</v>
      </c>
      <c r="M16" s="84">
        <v>8</v>
      </c>
      <c r="N16" s="33" t="s">
        <v>229</v>
      </c>
      <c r="O16" s="33">
        <v>2352</v>
      </c>
      <c r="P16" s="33">
        <v>585</v>
      </c>
      <c r="Q16" s="33">
        <f t="shared" si="0"/>
        <v>1375.92</v>
      </c>
      <c r="R16" s="33">
        <v>2600</v>
      </c>
      <c r="S16" s="90">
        <f t="shared" si="1"/>
        <v>3577392</v>
      </c>
    </row>
    <row r="17" ht="15.95" customHeight="1" spans="7:19">
      <c r="G17" s="84">
        <v>2</v>
      </c>
      <c r="H17" s="33" t="s">
        <v>225</v>
      </c>
      <c r="I17" s="33">
        <v>1722.6</v>
      </c>
      <c r="J17" s="33">
        <v>138</v>
      </c>
      <c r="K17" s="90">
        <f>J17*I17</f>
        <v>237718.8</v>
      </c>
      <c r="M17" s="85"/>
      <c r="N17" s="86" t="s">
        <v>52</v>
      </c>
      <c r="O17" s="91">
        <f>SUM(O9:O16)</f>
        <v>5089</v>
      </c>
      <c r="P17" s="86" t="s">
        <v>144</v>
      </c>
      <c r="Q17" s="91">
        <f>SUM(Q9:Q16)</f>
        <v>2977.065</v>
      </c>
      <c r="R17" s="86" t="s">
        <v>144</v>
      </c>
      <c r="S17" s="92">
        <f>SUM(S9:S16)</f>
        <v>7740369</v>
      </c>
    </row>
    <row r="18" ht="15.95" customHeight="1" spans="7:11">
      <c r="G18" s="84">
        <v>3</v>
      </c>
      <c r="H18" s="33" t="s">
        <v>228</v>
      </c>
      <c r="I18" s="33">
        <v>1722.6</v>
      </c>
      <c r="J18" s="33">
        <v>138</v>
      </c>
      <c r="K18" s="90">
        <f>J18*I18</f>
        <v>237718.8</v>
      </c>
    </row>
    <row r="19" ht="15.95" customHeight="1" spans="7:11">
      <c r="G19" s="84">
        <v>4</v>
      </c>
      <c r="H19" s="33" t="s">
        <v>229</v>
      </c>
      <c r="I19" s="33">
        <v>7056</v>
      </c>
      <c r="J19" s="33">
        <v>138</v>
      </c>
      <c r="K19" s="90">
        <f>J19*I19</f>
        <v>973728</v>
      </c>
    </row>
    <row r="20" ht="15.95" customHeight="1" spans="7:11">
      <c r="G20" s="85"/>
      <c r="H20" s="86" t="s">
        <v>52</v>
      </c>
      <c r="I20" s="91">
        <f>SUM(I16:I19)</f>
        <v>12223.8</v>
      </c>
      <c r="J20" s="86" t="s">
        <v>144</v>
      </c>
      <c r="K20" s="92">
        <f>SUM(K16:K19)</f>
        <v>1686884.4</v>
      </c>
    </row>
    <row r="21" ht="15.95" customHeight="1"/>
    <row r="22" ht="15.95" customHeight="1" spans="7:11">
      <c r="G22" s="82" t="s">
        <v>204</v>
      </c>
      <c r="H22" s="83" t="s">
        <v>219</v>
      </c>
      <c r="I22" s="83" t="s">
        <v>226</v>
      </c>
      <c r="J22" s="83" t="s">
        <v>227</v>
      </c>
      <c r="K22" s="87" t="s">
        <v>71</v>
      </c>
    </row>
    <row r="23" ht="15.95" customHeight="1" spans="7:11">
      <c r="G23" s="84">
        <v>1</v>
      </c>
      <c r="H23" s="33" t="s">
        <v>212</v>
      </c>
      <c r="I23" s="33">
        <v>1029.6</v>
      </c>
      <c r="J23" s="33">
        <v>80</v>
      </c>
      <c r="K23" s="90">
        <f>J23*I23</f>
        <v>82368</v>
      </c>
    </row>
    <row r="24" ht="15.95" customHeight="1" spans="7:11">
      <c r="G24" s="84">
        <v>2</v>
      </c>
      <c r="H24" s="33" t="s">
        <v>215</v>
      </c>
      <c r="I24" s="33">
        <v>538.2</v>
      </c>
      <c r="J24" s="33">
        <v>80</v>
      </c>
      <c r="K24" s="90">
        <f>J24*I24</f>
        <v>43056</v>
      </c>
    </row>
    <row r="25" ht="15.95" customHeight="1" spans="7:11">
      <c r="G25" s="84">
        <v>3</v>
      </c>
      <c r="H25" s="33" t="s">
        <v>218</v>
      </c>
      <c r="I25" s="33">
        <v>561.6</v>
      </c>
      <c r="J25" s="33">
        <v>80</v>
      </c>
      <c r="K25" s="90">
        <f>J25*I25</f>
        <v>44928</v>
      </c>
    </row>
    <row r="26" ht="15.95" customHeight="1" spans="7:11">
      <c r="G26" s="85"/>
      <c r="H26" s="86" t="s">
        <v>52</v>
      </c>
      <c r="I26" s="91">
        <f>SUM(I23:I25)</f>
        <v>2129.4</v>
      </c>
      <c r="J26" s="86" t="s">
        <v>144</v>
      </c>
      <c r="K26" s="92">
        <f>SUM(K23:K25)</f>
        <v>170352</v>
      </c>
    </row>
    <row r="29" ht="15"/>
    <row r="30" ht="17.25" spans="7:11">
      <c r="G30" s="82" t="s">
        <v>204</v>
      </c>
      <c r="H30" s="83" t="s">
        <v>230</v>
      </c>
      <c r="I30" s="83" t="s">
        <v>209</v>
      </c>
      <c r="J30" s="83" t="s">
        <v>7</v>
      </c>
      <c r="K30" s="87" t="s">
        <v>71</v>
      </c>
    </row>
    <row r="31" ht="17.25" spans="7:11">
      <c r="G31" s="84">
        <v>1</v>
      </c>
      <c r="H31" s="33" t="s">
        <v>224</v>
      </c>
      <c r="I31" s="33">
        <v>358.02</v>
      </c>
      <c r="J31" s="33">
        <v>200</v>
      </c>
      <c r="K31" s="90">
        <f t="shared" ref="K31:K34" si="2">J31*I31</f>
        <v>71604</v>
      </c>
    </row>
    <row r="32" ht="17.25" spans="7:11">
      <c r="G32" s="84">
        <v>2</v>
      </c>
      <c r="H32" s="33" t="s">
        <v>225</v>
      </c>
      <c r="I32" s="33">
        <v>358.02</v>
      </c>
      <c r="J32" s="33">
        <v>200</v>
      </c>
      <c r="K32" s="90">
        <f t="shared" si="2"/>
        <v>71604</v>
      </c>
    </row>
    <row r="33" ht="17.25" hidden="1" spans="7:11">
      <c r="G33" s="84">
        <v>3</v>
      </c>
      <c r="H33" s="33" t="s">
        <v>228</v>
      </c>
      <c r="I33" s="33">
        <v>358.02</v>
      </c>
      <c r="J33" s="33">
        <v>200</v>
      </c>
      <c r="K33" s="90">
        <f t="shared" si="2"/>
        <v>71604</v>
      </c>
    </row>
    <row r="34" ht="17.25" hidden="1" spans="7:11">
      <c r="G34" s="84">
        <v>4</v>
      </c>
      <c r="H34" s="33" t="s">
        <v>229</v>
      </c>
      <c r="I34" s="33">
        <v>1375.92</v>
      </c>
      <c r="J34" s="33">
        <v>200</v>
      </c>
      <c r="K34" s="90">
        <f t="shared" si="2"/>
        <v>275184</v>
      </c>
    </row>
    <row r="35" ht="18" hidden="1" spans="7:11">
      <c r="G35" s="85"/>
      <c r="H35" s="86" t="s">
        <v>52</v>
      </c>
      <c r="I35" s="91">
        <f>SUM(I31:I34)</f>
        <v>2449.98</v>
      </c>
      <c r="J35" s="86" t="s">
        <v>144</v>
      </c>
      <c r="K35" s="92">
        <f>SUM(K31:K34)</f>
        <v>489996</v>
      </c>
    </row>
    <row r="40" spans="17:17">
      <c r="Q40" s="95"/>
    </row>
    <row r="41" ht="18" spans="7:17">
      <c r="G41" s="33" t="s">
        <v>204</v>
      </c>
      <c r="H41" s="33" t="s">
        <v>231</v>
      </c>
      <c r="I41" s="33" t="s">
        <v>26</v>
      </c>
      <c r="J41" s="33" t="s">
        <v>52</v>
      </c>
      <c r="Q41" s="96"/>
    </row>
    <row r="42" ht="20.25" spans="7:18">
      <c r="G42" s="33">
        <v>1</v>
      </c>
      <c r="H42" s="33" t="s">
        <v>232</v>
      </c>
      <c r="I42" s="33" t="s">
        <v>233</v>
      </c>
      <c r="J42" s="93">
        <f>654.615*2570</f>
        <v>1682360.55</v>
      </c>
      <c r="Q42" s="95"/>
      <c r="R42" s="97"/>
    </row>
    <row r="43" ht="17.25" spans="7:10">
      <c r="G43" s="33" t="s">
        <v>52</v>
      </c>
      <c r="H43" s="33"/>
      <c r="I43" s="33"/>
      <c r="J43" s="94">
        <f>J42</f>
        <v>1682360.55</v>
      </c>
    </row>
    <row r="48" ht="17.25" spans="7:10">
      <c r="G48" s="33" t="s">
        <v>204</v>
      </c>
      <c r="H48" s="33" t="s">
        <v>234</v>
      </c>
      <c r="I48" s="33" t="s">
        <v>26</v>
      </c>
      <c r="J48" s="33" t="s">
        <v>52</v>
      </c>
    </row>
    <row r="49" ht="17.25" spans="7:10">
      <c r="G49" s="33">
        <v>1</v>
      </c>
      <c r="H49" s="33" t="s">
        <v>232</v>
      </c>
      <c r="I49" s="33" t="s">
        <v>235</v>
      </c>
      <c r="J49" s="93">
        <f>833.04*2470</f>
        <v>2057608.8</v>
      </c>
    </row>
    <row r="50" ht="17.25" spans="7:10">
      <c r="G50" s="33">
        <v>2</v>
      </c>
      <c r="H50" s="33" t="s">
        <v>236</v>
      </c>
      <c r="I50" s="33" t="s">
        <v>220</v>
      </c>
      <c r="J50" s="93">
        <f>3673.92*80</f>
        <v>293913.6</v>
      </c>
    </row>
    <row r="51" ht="17.25" spans="7:10">
      <c r="G51" s="33" t="s">
        <v>52</v>
      </c>
      <c r="H51" s="33"/>
      <c r="I51" s="33"/>
      <c r="J51" s="94">
        <f>J49+J50</f>
        <v>2351522.4</v>
      </c>
    </row>
    <row r="54" ht="17.25" spans="7:10">
      <c r="G54" s="33" t="s">
        <v>204</v>
      </c>
      <c r="H54" s="33" t="s">
        <v>237</v>
      </c>
      <c r="I54" s="33" t="s">
        <v>26</v>
      </c>
      <c r="J54" s="33" t="s">
        <v>52</v>
      </c>
    </row>
    <row r="55" ht="17.25" spans="7:10">
      <c r="G55" s="33">
        <v>1</v>
      </c>
      <c r="H55" s="33" t="s">
        <v>232</v>
      </c>
      <c r="I55" s="33" t="s">
        <v>235</v>
      </c>
      <c r="J55" s="93">
        <f>833.04*2470</f>
        <v>2057608.8</v>
      </c>
    </row>
    <row r="56" ht="17.25" spans="7:10">
      <c r="G56" s="33">
        <v>2</v>
      </c>
      <c r="H56" s="33" t="s">
        <v>238</v>
      </c>
      <c r="I56" s="33" t="s">
        <v>239</v>
      </c>
      <c r="J56" s="93">
        <f>3673.92*170</f>
        <v>624566.4</v>
      </c>
    </row>
    <row r="57" ht="17.25" spans="7:10">
      <c r="G57" s="33" t="s">
        <v>52</v>
      </c>
      <c r="H57" s="33"/>
      <c r="I57" s="33"/>
      <c r="J57" s="94">
        <f>J55+J56</f>
        <v>2682175.2</v>
      </c>
    </row>
  </sheetData>
  <mergeCells count="3">
    <mergeCell ref="G43:I43"/>
    <mergeCell ref="G51:I51"/>
    <mergeCell ref="G57:I5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85" zoomScaleNormal="85" topLeftCell="B1" workbookViewId="0">
      <selection activeCell="L3" sqref="L3"/>
    </sheetView>
  </sheetViews>
  <sheetFormatPr defaultColWidth="9" defaultRowHeight="14.25"/>
  <cols>
    <col min="2" max="2" width="6.375" customWidth="1"/>
    <col min="3" max="3" width="15.5" customWidth="1"/>
    <col min="4" max="4" width="13" style="41" customWidth="1"/>
    <col min="5" max="5" width="12.125" style="41" customWidth="1"/>
    <col min="6" max="6" width="11.375" style="41" customWidth="1"/>
    <col min="7" max="7" width="14.625" customWidth="1"/>
    <col min="8" max="8" width="19" customWidth="1"/>
    <col min="9" max="9" width="20.625" customWidth="1"/>
    <col min="10" max="10" width="31.875" customWidth="1"/>
    <col min="11" max="11" width="16.125" customWidth="1"/>
    <col min="12" max="15" width="9.5" customWidth="1"/>
    <col min="16" max="19" width="16" customWidth="1"/>
  </cols>
  <sheetData>
    <row r="1" ht="17.25" spans="10:19">
      <c r="J1" s="17"/>
      <c r="K1" s="33" t="s">
        <v>73</v>
      </c>
      <c r="L1" s="33"/>
      <c r="M1" s="33"/>
      <c r="N1" s="33"/>
      <c r="O1" s="33"/>
      <c r="P1" s="33"/>
      <c r="Q1" s="33"/>
      <c r="R1" s="33"/>
      <c r="S1" s="33"/>
    </row>
    <row r="2" ht="18.6" customHeight="1" spans="1:19">
      <c r="A2" s="39"/>
      <c r="B2" s="42" t="s">
        <v>240</v>
      </c>
      <c r="C2" s="43"/>
      <c r="D2" s="43"/>
      <c r="E2" s="44" t="s">
        <v>166</v>
      </c>
      <c r="F2" s="44" t="s">
        <v>76</v>
      </c>
      <c r="G2" s="45"/>
      <c r="H2" s="46"/>
      <c r="J2" s="17"/>
      <c r="K2" s="33" t="s">
        <v>77</v>
      </c>
      <c r="L2" s="33" t="s">
        <v>78</v>
      </c>
      <c r="M2" s="33" t="s">
        <v>79</v>
      </c>
      <c r="N2" s="33" t="s">
        <v>80</v>
      </c>
      <c r="O2" s="33" t="s">
        <v>81</v>
      </c>
      <c r="P2" s="33" t="s">
        <v>82</v>
      </c>
      <c r="Q2" s="33" t="s">
        <v>83</v>
      </c>
      <c r="R2" s="33" t="s">
        <v>84</v>
      </c>
      <c r="S2" s="33" t="s">
        <v>85</v>
      </c>
    </row>
    <row r="3" ht="18.6" customHeight="1" spans="1:19">
      <c r="A3" s="39"/>
      <c r="B3" s="47" t="s">
        <v>86</v>
      </c>
      <c r="C3" s="47" t="s">
        <v>87</v>
      </c>
      <c r="D3" s="47" t="s">
        <v>68</v>
      </c>
      <c r="E3" s="48">
        <v>0.8</v>
      </c>
      <c r="F3" s="49">
        <f>1-E3</f>
        <v>0.2</v>
      </c>
      <c r="G3" s="50" t="s">
        <v>241</v>
      </c>
      <c r="H3" s="50" t="s">
        <v>168</v>
      </c>
      <c r="I3" s="41"/>
      <c r="J3" s="58" t="s">
        <v>95</v>
      </c>
      <c r="K3" s="33"/>
      <c r="L3" s="59">
        <v>1.4773</v>
      </c>
      <c r="M3" s="59">
        <v>1.1872</v>
      </c>
      <c r="N3" s="59">
        <v>0.7097</v>
      </c>
      <c r="O3" s="36" t="s">
        <v>96</v>
      </c>
      <c r="P3" s="33">
        <v>0</v>
      </c>
      <c r="Q3" s="33">
        <v>0</v>
      </c>
      <c r="R3" s="33">
        <v>0</v>
      </c>
      <c r="S3" s="33">
        <v>0</v>
      </c>
    </row>
    <row r="4" ht="18.6" customHeight="1" spans="1:19">
      <c r="A4" s="39"/>
      <c r="B4" s="47">
        <v>1</v>
      </c>
      <c r="C4" s="51">
        <v>0.99</v>
      </c>
      <c r="D4" s="52" t="e">
        <f>$J$10*C4</f>
        <v>#REF!</v>
      </c>
      <c r="E4" s="53" t="e">
        <f>D4*E3</f>
        <v>#REF!</v>
      </c>
      <c r="F4" s="53" t="e">
        <f>D4*F3</f>
        <v>#REF!</v>
      </c>
      <c r="G4" s="54" t="e">
        <f>$J$12*C4*$E$3*$L$8+$J$12*C4*$F$3*$J$4+$J$14*C4*$E$3*$L$17+$J$14*C4*$F$3*$J$4</f>
        <v>#REF!</v>
      </c>
      <c r="H4" s="54" t="e">
        <f>D4/12</f>
        <v>#REF!</v>
      </c>
      <c r="I4" s="57"/>
      <c r="J4" s="60">
        <v>0.453</v>
      </c>
      <c r="K4" s="61" t="s">
        <v>97</v>
      </c>
      <c r="L4" s="33" t="s">
        <v>78</v>
      </c>
      <c r="M4" s="33" t="s">
        <v>79</v>
      </c>
      <c r="N4" s="33" t="s">
        <v>80</v>
      </c>
      <c r="O4" s="33" t="s">
        <v>81</v>
      </c>
      <c r="P4" s="62"/>
      <c r="Q4" s="17"/>
      <c r="R4" s="17"/>
      <c r="S4" s="17"/>
    </row>
    <row r="5" ht="18.6" customHeight="1" spans="1:19">
      <c r="A5" s="39"/>
      <c r="B5" s="47">
        <v>2</v>
      </c>
      <c r="C5" s="51">
        <f>C4-0.004</f>
        <v>0.986</v>
      </c>
      <c r="D5" s="52" t="e">
        <f>$J$10*C5</f>
        <v>#REF!</v>
      </c>
      <c r="E5" s="53" t="e">
        <f>D5*$E$3</f>
        <v>#REF!</v>
      </c>
      <c r="F5" s="53" t="e">
        <f>D5*$F$3</f>
        <v>#REF!</v>
      </c>
      <c r="G5" s="54" t="e">
        <f t="shared" ref="G5:G33" si="0">$J$12*C5*$E$3*$L$8+$J$12*C5*$F$3*$J$4+$J$14*C5*$E$3*$L$17+$J$14*C5*$F$3*$J$4</f>
        <v>#REF!</v>
      </c>
      <c r="H5" s="54" t="e">
        <f>D5/12</f>
        <v>#REF!</v>
      </c>
      <c r="I5" s="57"/>
      <c r="K5" s="63"/>
      <c r="L5" s="64">
        <f>L3+P3+S3</f>
        <v>1.4773</v>
      </c>
      <c r="M5" s="64">
        <f>M3+Q3+S3</f>
        <v>1.1872</v>
      </c>
      <c r="N5" s="64">
        <f>N3+R3+S3</f>
        <v>0.7097</v>
      </c>
      <c r="O5" s="64" t="s">
        <v>96</v>
      </c>
      <c r="P5" s="63"/>
      <c r="Q5" s="17"/>
      <c r="R5" s="17"/>
      <c r="S5" s="17"/>
    </row>
    <row r="6" ht="18.6" customHeight="1" spans="1:19">
      <c r="A6" s="39"/>
      <c r="B6" s="47">
        <v>3</v>
      </c>
      <c r="C6" s="51">
        <f t="shared" ref="C6:C33" si="1">C5-0.004</f>
        <v>0.982</v>
      </c>
      <c r="D6" s="52" t="e">
        <f t="shared" ref="D6:D33" si="2">$J$10*C6</f>
        <v>#REF!</v>
      </c>
      <c r="E6" s="53" t="e">
        <f t="shared" ref="E6:E33" si="3">D6*$E$3</f>
        <v>#REF!</v>
      </c>
      <c r="F6" s="53" t="e">
        <f t="shared" ref="F6:F33" si="4">D6*$F$3</f>
        <v>#REF!</v>
      </c>
      <c r="G6" s="54" t="e">
        <f t="shared" si="0"/>
        <v>#REF!</v>
      </c>
      <c r="H6" s="54" t="e">
        <f t="shared" ref="H6:H33" si="5">D6/12</f>
        <v>#REF!</v>
      </c>
      <c r="I6" s="57"/>
      <c r="K6" s="33"/>
      <c r="L6" s="33" t="s">
        <v>99</v>
      </c>
      <c r="M6" s="33" t="s">
        <v>99</v>
      </c>
      <c r="N6" s="33" t="s">
        <v>99</v>
      </c>
      <c r="O6" s="33" t="s">
        <v>99</v>
      </c>
      <c r="P6" s="33" t="s">
        <v>100</v>
      </c>
      <c r="Q6" s="17"/>
      <c r="R6" s="17"/>
      <c r="S6" s="17"/>
    </row>
    <row r="7" ht="18.6" customHeight="1" spans="1:19">
      <c r="A7" s="39"/>
      <c r="B7" s="47">
        <v>4</v>
      </c>
      <c r="C7" s="51">
        <f t="shared" si="1"/>
        <v>0.978</v>
      </c>
      <c r="D7" s="52" t="e">
        <f t="shared" si="2"/>
        <v>#REF!</v>
      </c>
      <c r="E7" s="53" t="e">
        <f t="shared" si="3"/>
        <v>#REF!</v>
      </c>
      <c r="F7" s="53" t="e">
        <f t="shared" si="4"/>
        <v>#REF!</v>
      </c>
      <c r="G7" s="54" t="e">
        <f t="shared" si="0"/>
        <v>#REF!</v>
      </c>
      <c r="H7" s="54" t="e">
        <f t="shared" si="5"/>
        <v>#REF!</v>
      </c>
      <c r="I7" s="57"/>
      <c r="J7" s="65" t="s">
        <v>101</v>
      </c>
      <c r="K7" s="34"/>
      <c r="L7" s="36">
        <v>0</v>
      </c>
      <c r="M7" s="36">
        <v>5</v>
      </c>
      <c r="N7" s="36">
        <v>4</v>
      </c>
      <c r="O7" s="36">
        <v>0</v>
      </c>
      <c r="P7" s="33">
        <v>9</v>
      </c>
      <c r="Q7" s="17"/>
      <c r="R7" s="17"/>
      <c r="S7" s="17"/>
    </row>
    <row r="8" ht="18.6" customHeight="1" spans="1:19">
      <c r="A8" s="39"/>
      <c r="B8" s="47">
        <v>5</v>
      </c>
      <c r="C8" s="51">
        <f t="shared" si="1"/>
        <v>0.974</v>
      </c>
      <c r="D8" s="52" t="e">
        <f t="shared" si="2"/>
        <v>#REF!</v>
      </c>
      <c r="E8" s="53" t="e">
        <f t="shared" si="3"/>
        <v>#REF!</v>
      </c>
      <c r="F8" s="53" t="e">
        <f t="shared" si="4"/>
        <v>#REF!</v>
      </c>
      <c r="G8" s="54" t="e">
        <f t="shared" si="0"/>
        <v>#REF!</v>
      </c>
      <c r="H8" s="54" t="e">
        <f t="shared" si="5"/>
        <v>#REF!</v>
      </c>
      <c r="I8" s="57"/>
      <c r="J8" s="66">
        <f>(L8*9+L17*3)/12</f>
        <v>0.999152777777778</v>
      </c>
      <c r="K8" s="34" t="s">
        <v>102</v>
      </c>
      <c r="L8" s="67">
        <f>(L5*L7+M5*M7+N5*N7)/P7</f>
        <v>0.974977777777778</v>
      </c>
      <c r="M8" s="68"/>
      <c r="N8" s="68"/>
      <c r="O8" s="68"/>
      <c r="P8" s="69"/>
      <c r="Q8" s="17"/>
      <c r="R8" s="17"/>
      <c r="S8" s="17"/>
    </row>
    <row r="9" ht="18.6" customHeight="1" spans="1:19">
      <c r="A9" s="39"/>
      <c r="B9" s="47">
        <v>6</v>
      </c>
      <c r="C9" s="51">
        <f t="shared" si="1"/>
        <v>0.97</v>
      </c>
      <c r="D9" s="52" t="e">
        <f t="shared" si="2"/>
        <v>#REF!</v>
      </c>
      <c r="E9" s="53" t="e">
        <f t="shared" si="3"/>
        <v>#REF!</v>
      </c>
      <c r="F9" s="53" t="e">
        <f t="shared" si="4"/>
        <v>#REF!</v>
      </c>
      <c r="G9" s="54" t="e">
        <f t="shared" si="0"/>
        <v>#REF!</v>
      </c>
      <c r="H9" s="54" t="e">
        <f t="shared" si="5"/>
        <v>#REF!</v>
      </c>
      <c r="I9" s="57"/>
      <c r="J9" s="70" t="s">
        <v>170</v>
      </c>
      <c r="K9" s="17"/>
      <c r="L9" s="17"/>
      <c r="M9" s="17"/>
      <c r="N9" s="17"/>
      <c r="O9" s="17"/>
      <c r="P9" s="17"/>
      <c r="Q9" s="17"/>
      <c r="R9" s="17"/>
      <c r="S9" s="17"/>
    </row>
    <row r="10" ht="18.6" customHeight="1" spans="1:19">
      <c r="A10" s="39"/>
      <c r="B10" s="47">
        <v>7</v>
      </c>
      <c r="C10" s="51">
        <f t="shared" si="1"/>
        <v>0.966</v>
      </c>
      <c r="D10" s="52" t="e">
        <f t="shared" si="2"/>
        <v>#REF!</v>
      </c>
      <c r="E10" s="53" t="e">
        <f t="shared" si="3"/>
        <v>#REF!</v>
      </c>
      <c r="F10" s="53" t="e">
        <f t="shared" si="4"/>
        <v>#REF!</v>
      </c>
      <c r="G10" s="54" t="e">
        <f t="shared" si="0"/>
        <v>#REF!</v>
      </c>
      <c r="H10" s="54" t="e">
        <f t="shared" si="5"/>
        <v>#REF!</v>
      </c>
      <c r="I10" s="57"/>
      <c r="J10" s="71" t="e">
        <f>J12+J14</f>
        <v>#REF!</v>
      </c>
      <c r="K10" s="72" t="s">
        <v>104</v>
      </c>
      <c r="L10" s="70"/>
      <c r="M10" s="70"/>
      <c r="N10" s="70"/>
      <c r="O10" s="70"/>
      <c r="P10" s="70"/>
      <c r="Q10" s="70"/>
      <c r="R10" s="70"/>
      <c r="S10" s="70"/>
    </row>
    <row r="11" ht="18.6" customHeight="1" spans="1:19">
      <c r="A11" s="39"/>
      <c r="B11" s="47">
        <v>8</v>
      </c>
      <c r="C11" s="51">
        <f t="shared" si="1"/>
        <v>0.962</v>
      </c>
      <c r="D11" s="52" t="e">
        <f t="shared" si="2"/>
        <v>#REF!</v>
      </c>
      <c r="E11" s="53" t="e">
        <f t="shared" si="3"/>
        <v>#REF!</v>
      </c>
      <c r="F11" s="53" t="e">
        <f t="shared" si="4"/>
        <v>#REF!</v>
      </c>
      <c r="G11" s="54" t="e">
        <f t="shared" si="0"/>
        <v>#REF!</v>
      </c>
      <c r="H11" s="54" t="e">
        <f t="shared" si="5"/>
        <v>#REF!</v>
      </c>
      <c r="I11" s="57"/>
      <c r="J11" s="70" t="s">
        <v>171</v>
      </c>
      <c r="K11" s="72" t="s">
        <v>77</v>
      </c>
      <c r="L11" s="70" t="s">
        <v>78</v>
      </c>
      <c r="M11" s="70" t="s">
        <v>79</v>
      </c>
      <c r="N11" s="70" t="s">
        <v>80</v>
      </c>
      <c r="O11" s="70" t="s">
        <v>81</v>
      </c>
      <c r="P11" s="70" t="s">
        <v>82</v>
      </c>
      <c r="Q11" s="70" t="s">
        <v>83</v>
      </c>
      <c r="R11" s="70" t="s">
        <v>84</v>
      </c>
      <c r="S11" s="70" t="s">
        <v>85</v>
      </c>
    </row>
    <row r="12" ht="18.6" customHeight="1" spans="1:19">
      <c r="A12" s="39"/>
      <c r="B12" s="47">
        <v>9</v>
      </c>
      <c r="C12" s="51">
        <f t="shared" si="1"/>
        <v>0.958</v>
      </c>
      <c r="D12" s="52" t="e">
        <f t="shared" si="2"/>
        <v>#REF!</v>
      </c>
      <c r="E12" s="53" t="e">
        <f t="shared" si="3"/>
        <v>#REF!</v>
      </c>
      <c r="F12" s="53" t="e">
        <f t="shared" si="4"/>
        <v>#REF!</v>
      </c>
      <c r="G12" s="54" t="e">
        <f t="shared" si="0"/>
        <v>#REF!</v>
      </c>
      <c r="H12" s="54" t="e">
        <f t="shared" si="5"/>
        <v>#REF!</v>
      </c>
      <c r="I12" s="57"/>
      <c r="J12" s="71" t="e">
        <f>M21+M22+M23+M24+M25+M26+M30+M31+M32</f>
        <v>#REF!</v>
      </c>
      <c r="K12" s="72"/>
      <c r="L12" s="73">
        <f t="shared" ref="L12:O12" si="6">L3</f>
        <v>1.4773</v>
      </c>
      <c r="M12" s="73">
        <f t="shared" si="6"/>
        <v>1.1872</v>
      </c>
      <c r="N12" s="73">
        <f t="shared" si="6"/>
        <v>0.7097</v>
      </c>
      <c r="O12" s="73" t="str">
        <f t="shared" si="6"/>
        <v>忽略</v>
      </c>
      <c r="P12" s="70">
        <v>0</v>
      </c>
      <c r="Q12" s="70">
        <v>0</v>
      </c>
      <c r="R12" s="70">
        <v>0</v>
      </c>
      <c r="S12" s="70">
        <v>0</v>
      </c>
    </row>
    <row r="13" ht="18.6" customHeight="1" spans="1:19">
      <c r="A13" s="39"/>
      <c r="B13" s="47">
        <v>10</v>
      </c>
      <c r="C13" s="51">
        <f t="shared" si="1"/>
        <v>0.954</v>
      </c>
      <c r="D13" s="52" t="e">
        <f t="shared" si="2"/>
        <v>#REF!</v>
      </c>
      <c r="E13" s="53" t="e">
        <f t="shared" si="3"/>
        <v>#REF!</v>
      </c>
      <c r="F13" s="53" t="e">
        <f t="shared" si="4"/>
        <v>#REF!</v>
      </c>
      <c r="G13" s="54" t="e">
        <f t="shared" si="0"/>
        <v>#REF!</v>
      </c>
      <c r="H13" s="54" t="e">
        <f t="shared" si="5"/>
        <v>#REF!</v>
      </c>
      <c r="I13" s="57"/>
      <c r="J13" s="70" t="s">
        <v>106</v>
      </c>
      <c r="K13" s="74" t="s">
        <v>97</v>
      </c>
      <c r="L13" s="63" t="s">
        <v>78</v>
      </c>
      <c r="M13" s="63" t="s">
        <v>79</v>
      </c>
      <c r="N13" s="63" t="s">
        <v>80</v>
      </c>
      <c r="O13" s="63" t="s">
        <v>81</v>
      </c>
      <c r="P13" s="75"/>
      <c r="Q13" s="39"/>
      <c r="R13" s="39"/>
      <c r="S13" s="39"/>
    </row>
    <row r="14" ht="18.6" customHeight="1" spans="1:19">
      <c r="A14" s="39"/>
      <c r="B14" s="47">
        <v>11</v>
      </c>
      <c r="C14" s="51">
        <f t="shared" si="1"/>
        <v>0.95</v>
      </c>
      <c r="D14" s="52" t="e">
        <f t="shared" si="2"/>
        <v>#REF!</v>
      </c>
      <c r="E14" s="53" t="e">
        <f t="shared" si="3"/>
        <v>#REF!</v>
      </c>
      <c r="F14" s="53" t="e">
        <f t="shared" si="4"/>
        <v>#REF!</v>
      </c>
      <c r="G14" s="54" t="e">
        <f t="shared" si="0"/>
        <v>#REF!</v>
      </c>
      <c r="H14" s="54" t="e">
        <f t="shared" si="5"/>
        <v>#REF!</v>
      </c>
      <c r="I14" s="57"/>
      <c r="J14" s="71" t="e">
        <f>M27+M28+M29</f>
        <v>#REF!</v>
      </c>
      <c r="K14" s="76"/>
      <c r="L14" s="64">
        <f>L12+P12+S12</f>
        <v>1.4773</v>
      </c>
      <c r="M14" s="64">
        <f>M12+Q12+S12</f>
        <v>1.1872</v>
      </c>
      <c r="N14" s="64">
        <f>N12+R12+S12</f>
        <v>0.7097</v>
      </c>
      <c r="O14" s="64" t="s">
        <v>96</v>
      </c>
      <c r="P14" s="77"/>
      <c r="Q14" s="39"/>
      <c r="R14" s="39"/>
      <c r="S14" s="39"/>
    </row>
    <row r="15" ht="18.6" customHeight="1" spans="1:19">
      <c r="A15" s="39"/>
      <c r="B15" s="47">
        <v>12</v>
      </c>
      <c r="C15" s="51">
        <f t="shared" si="1"/>
        <v>0.946</v>
      </c>
      <c r="D15" s="52" t="e">
        <f t="shared" si="2"/>
        <v>#REF!</v>
      </c>
      <c r="E15" s="53" t="e">
        <f t="shared" si="3"/>
        <v>#REF!</v>
      </c>
      <c r="F15" s="53" t="e">
        <f t="shared" si="4"/>
        <v>#REF!</v>
      </c>
      <c r="G15" s="54" t="e">
        <f t="shared" si="0"/>
        <v>#REF!</v>
      </c>
      <c r="H15" s="54" t="e">
        <f t="shared" si="5"/>
        <v>#REF!</v>
      </c>
      <c r="I15" s="57"/>
      <c r="J15" s="39"/>
      <c r="K15" s="33"/>
      <c r="L15" s="33" t="s">
        <v>99</v>
      </c>
      <c r="M15" s="33" t="s">
        <v>99</v>
      </c>
      <c r="N15" s="33" t="s">
        <v>99</v>
      </c>
      <c r="O15" s="33" t="s">
        <v>99</v>
      </c>
      <c r="P15" s="33" t="s">
        <v>100</v>
      </c>
      <c r="Q15" s="39"/>
      <c r="R15" s="39"/>
      <c r="S15" s="39"/>
    </row>
    <row r="16" ht="18.6" customHeight="1" spans="1:19">
      <c r="A16" s="39"/>
      <c r="B16" s="47">
        <v>13</v>
      </c>
      <c r="C16" s="51">
        <f t="shared" si="1"/>
        <v>0.942</v>
      </c>
      <c r="D16" s="52" t="e">
        <f t="shared" si="2"/>
        <v>#REF!</v>
      </c>
      <c r="E16" s="53" t="e">
        <f t="shared" si="3"/>
        <v>#REF!</v>
      </c>
      <c r="F16" s="53" t="e">
        <f t="shared" si="4"/>
        <v>#REF!</v>
      </c>
      <c r="G16" s="54" t="e">
        <f t="shared" si="0"/>
        <v>#REF!</v>
      </c>
      <c r="H16" s="54" t="e">
        <f t="shared" si="5"/>
        <v>#REF!</v>
      </c>
      <c r="I16" s="57"/>
      <c r="J16" s="39"/>
      <c r="K16" s="33"/>
      <c r="L16" s="36">
        <v>3</v>
      </c>
      <c r="M16" s="36">
        <v>2</v>
      </c>
      <c r="N16" s="36">
        <v>4</v>
      </c>
      <c r="O16" s="36">
        <v>0</v>
      </c>
      <c r="P16" s="33">
        <v>9</v>
      </c>
      <c r="Q16" s="39"/>
      <c r="R16" s="39"/>
      <c r="S16" s="39"/>
    </row>
    <row r="17" ht="18.6" customHeight="1" spans="1:19">
      <c r="A17" s="39"/>
      <c r="B17" s="47">
        <v>14</v>
      </c>
      <c r="C17" s="51">
        <f t="shared" si="1"/>
        <v>0.938</v>
      </c>
      <c r="D17" s="52" t="e">
        <f t="shared" si="2"/>
        <v>#REF!</v>
      </c>
      <c r="E17" s="53" t="e">
        <f t="shared" si="3"/>
        <v>#REF!</v>
      </c>
      <c r="F17" s="53" t="e">
        <f t="shared" si="4"/>
        <v>#REF!</v>
      </c>
      <c r="G17" s="54" t="e">
        <f t="shared" si="0"/>
        <v>#REF!</v>
      </c>
      <c r="H17" s="54" t="e">
        <f t="shared" si="5"/>
        <v>#REF!</v>
      </c>
      <c r="I17" s="78"/>
      <c r="J17" s="39"/>
      <c r="K17" s="33" t="s">
        <v>102</v>
      </c>
      <c r="L17" s="67">
        <f>(L14*L16+M14*M16+N14*N16)/P16</f>
        <v>1.07167777777778</v>
      </c>
      <c r="M17" s="68"/>
      <c r="N17" s="68"/>
      <c r="O17" s="68"/>
      <c r="P17" s="69"/>
      <c r="Q17" s="39"/>
      <c r="R17" s="39"/>
      <c r="S17" s="39"/>
    </row>
    <row r="18" ht="18.6" customHeight="1" spans="1:19">
      <c r="A18" s="39"/>
      <c r="B18" s="47">
        <v>15</v>
      </c>
      <c r="C18" s="51">
        <f t="shared" si="1"/>
        <v>0.934</v>
      </c>
      <c r="D18" s="52" t="e">
        <f t="shared" si="2"/>
        <v>#REF!</v>
      </c>
      <c r="E18" s="53" t="e">
        <f t="shared" si="3"/>
        <v>#REF!</v>
      </c>
      <c r="F18" s="53" t="e">
        <f t="shared" si="4"/>
        <v>#REF!</v>
      </c>
      <c r="G18" s="54" t="e">
        <f t="shared" si="0"/>
        <v>#REF!</v>
      </c>
      <c r="H18" s="54" t="e">
        <f t="shared" si="5"/>
        <v>#REF!</v>
      </c>
      <c r="I18" s="78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ht="18.6" customHeight="1" spans="1:19">
      <c r="A19" s="39"/>
      <c r="B19" s="47">
        <v>16</v>
      </c>
      <c r="C19" s="51">
        <f t="shared" si="1"/>
        <v>0.93</v>
      </c>
      <c r="D19" s="52" t="e">
        <f t="shared" si="2"/>
        <v>#REF!</v>
      </c>
      <c r="E19" s="53" t="e">
        <f t="shared" si="3"/>
        <v>#REF!</v>
      </c>
      <c r="F19" s="53" t="e">
        <f t="shared" si="4"/>
        <v>#REF!</v>
      </c>
      <c r="G19" s="54" t="e">
        <f t="shared" si="0"/>
        <v>#REF!</v>
      </c>
      <c r="H19" s="54" t="e">
        <f t="shared" si="5"/>
        <v>#REF!</v>
      </c>
      <c r="I19" s="78"/>
      <c r="J19" s="39"/>
      <c r="K19" s="79" t="s">
        <v>172</v>
      </c>
      <c r="L19" s="80"/>
      <c r="M19" s="80"/>
      <c r="N19" s="34"/>
      <c r="O19" s="39"/>
      <c r="P19" s="39"/>
      <c r="Q19" s="39"/>
      <c r="R19" s="39"/>
      <c r="S19" s="39"/>
    </row>
    <row r="20" ht="18.6" customHeight="1" spans="1:19">
      <c r="A20" s="39"/>
      <c r="B20" s="47">
        <v>17</v>
      </c>
      <c r="C20" s="51">
        <f t="shared" si="1"/>
        <v>0.926</v>
      </c>
      <c r="D20" s="52" t="e">
        <f t="shared" si="2"/>
        <v>#REF!</v>
      </c>
      <c r="E20" s="53" t="e">
        <f t="shared" si="3"/>
        <v>#REF!</v>
      </c>
      <c r="F20" s="53" t="e">
        <f t="shared" si="4"/>
        <v>#REF!</v>
      </c>
      <c r="G20" s="54" t="e">
        <f t="shared" si="0"/>
        <v>#REF!</v>
      </c>
      <c r="H20" s="54" t="e">
        <f t="shared" si="5"/>
        <v>#REF!</v>
      </c>
      <c r="I20" s="78"/>
      <c r="J20" s="39"/>
      <c r="K20" s="79" t="s">
        <v>32</v>
      </c>
      <c r="L20" s="34"/>
      <c r="M20" s="79" t="s">
        <v>108</v>
      </c>
      <c r="N20" s="34"/>
      <c r="O20" s="39"/>
      <c r="P20" s="39"/>
      <c r="Q20" s="39"/>
      <c r="R20" s="39"/>
      <c r="S20" s="39"/>
    </row>
    <row r="21" ht="18.6" customHeight="1" spans="1:19">
      <c r="A21" s="39"/>
      <c r="B21" s="47">
        <v>18</v>
      </c>
      <c r="C21" s="51">
        <f t="shared" si="1"/>
        <v>0.922</v>
      </c>
      <c r="D21" s="52" t="e">
        <f t="shared" si="2"/>
        <v>#REF!</v>
      </c>
      <c r="E21" s="53" t="e">
        <f t="shared" si="3"/>
        <v>#REF!</v>
      </c>
      <c r="F21" s="53" t="e">
        <f t="shared" si="4"/>
        <v>#REF!</v>
      </c>
      <c r="G21" s="54" t="e">
        <f t="shared" si="0"/>
        <v>#REF!</v>
      </c>
      <c r="H21" s="54" t="e">
        <f t="shared" si="5"/>
        <v>#REF!</v>
      </c>
      <c r="I21" s="78"/>
      <c r="J21" s="39"/>
      <c r="K21" s="33" t="s">
        <v>39</v>
      </c>
      <c r="L21" s="33"/>
      <c r="M21" s="81" t="e">
        <f>基础数据!#REF!</f>
        <v>#REF!</v>
      </c>
      <c r="N21" s="81"/>
      <c r="O21" s="39"/>
      <c r="P21" s="39"/>
      <c r="Q21" s="39"/>
      <c r="R21" s="39"/>
      <c r="S21" s="39"/>
    </row>
    <row r="22" ht="18.6" customHeight="1" spans="1:19">
      <c r="A22" s="39"/>
      <c r="B22" s="47">
        <v>19</v>
      </c>
      <c r="C22" s="51">
        <f t="shared" si="1"/>
        <v>0.918</v>
      </c>
      <c r="D22" s="52" t="e">
        <f t="shared" si="2"/>
        <v>#REF!</v>
      </c>
      <c r="E22" s="53" t="e">
        <f t="shared" si="3"/>
        <v>#REF!</v>
      </c>
      <c r="F22" s="53" t="e">
        <f t="shared" si="4"/>
        <v>#REF!</v>
      </c>
      <c r="G22" s="54" t="e">
        <f t="shared" si="0"/>
        <v>#REF!</v>
      </c>
      <c r="H22" s="54" t="e">
        <f t="shared" si="5"/>
        <v>#REF!</v>
      </c>
      <c r="I22" s="78"/>
      <c r="J22" s="39"/>
      <c r="K22" s="33" t="s">
        <v>40</v>
      </c>
      <c r="L22" s="33"/>
      <c r="M22" s="81" t="e">
        <f>基础数据!#REF!</f>
        <v>#REF!</v>
      </c>
      <c r="N22" s="81"/>
      <c r="O22" s="39"/>
      <c r="P22" s="39"/>
      <c r="Q22" s="39"/>
      <c r="R22" s="39"/>
      <c r="S22" s="39"/>
    </row>
    <row r="23" ht="18.6" customHeight="1" spans="1:19">
      <c r="A23" s="39"/>
      <c r="B23" s="47">
        <v>20</v>
      </c>
      <c r="C23" s="51">
        <f t="shared" si="1"/>
        <v>0.914</v>
      </c>
      <c r="D23" s="52" t="e">
        <f t="shared" si="2"/>
        <v>#REF!</v>
      </c>
      <c r="E23" s="53" t="e">
        <f t="shared" si="3"/>
        <v>#REF!</v>
      </c>
      <c r="F23" s="53" t="e">
        <f t="shared" si="4"/>
        <v>#REF!</v>
      </c>
      <c r="G23" s="54" t="e">
        <f t="shared" si="0"/>
        <v>#REF!</v>
      </c>
      <c r="H23" s="54" t="e">
        <f t="shared" si="5"/>
        <v>#REF!</v>
      </c>
      <c r="I23" s="78"/>
      <c r="J23" s="39"/>
      <c r="K23" s="33" t="s">
        <v>41</v>
      </c>
      <c r="L23" s="33"/>
      <c r="M23" s="81" t="e">
        <f>基础数据!#REF!</f>
        <v>#REF!</v>
      </c>
      <c r="N23" s="81"/>
      <c r="O23" s="39"/>
      <c r="P23" s="39"/>
      <c r="Q23" s="39"/>
      <c r="R23" s="39"/>
      <c r="S23" s="39"/>
    </row>
    <row r="24" ht="18.6" customHeight="1" spans="1:19">
      <c r="A24" s="39"/>
      <c r="B24" s="47">
        <v>21</v>
      </c>
      <c r="C24" s="51">
        <f t="shared" si="1"/>
        <v>0.91</v>
      </c>
      <c r="D24" s="52" t="e">
        <f t="shared" si="2"/>
        <v>#REF!</v>
      </c>
      <c r="E24" s="53" t="e">
        <f t="shared" si="3"/>
        <v>#REF!</v>
      </c>
      <c r="F24" s="53" t="e">
        <f t="shared" si="4"/>
        <v>#REF!</v>
      </c>
      <c r="G24" s="54" t="e">
        <f t="shared" si="0"/>
        <v>#REF!</v>
      </c>
      <c r="H24" s="54" t="e">
        <f t="shared" si="5"/>
        <v>#REF!</v>
      </c>
      <c r="I24" s="78"/>
      <c r="J24" s="39"/>
      <c r="K24" s="33" t="s">
        <v>42</v>
      </c>
      <c r="L24" s="33"/>
      <c r="M24" s="81" t="e">
        <f>基础数据!#REF!</f>
        <v>#REF!</v>
      </c>
      <c r="N24" s="81"/>
      <c r="O24" s="39"/>
      <c r="P24" s="39"/>
      <c r="Q24" s="39"/>
      <c r="R24" s="39"/>
      <c r="S24" s="39"/>
    </row>
    <row r="25" ht="18.6" customHeight="1" spans="1:19">
      <c r="A25" s="39"/>
      <c r="B25" s="47">
        <v>22</v>
      </c>
      <c r="C25" s="51">
        <f t="shared" si="1"/>
        <v>0.906</v>
      </c>
      <c r="D25" s="52" t="e">
        <f t="shared" si="2"/>
        <v>#REF!</v>
      </c>
      <c r="E25" s="53" t="e">
        <f t="shared" si="3"/>
        <v>#REF!</v>
      </c>
      <c r="F25" s="53" t="e">
        <f t="shared" si="4"/>
        <v>#REF!</v>
      </c>
      <c r="G25" s="54" t="e">
        <f t="shared" si="0"/>
        <v>#REF!</v>
      </c>
      <c r="H25" s="54" t="e">
        <f t="shared" si="5"/>
        <v>#REF!</v>
      </c>
      <c r="I25" s="57"/>
      <c r="J25" s="39"/>
      <c r="K25" s="33" t="s">
        <v>43</v>
      </c>
      <c r="L25" s="33"/>
      <c r="M25" s="81" t="e">
        <f>基础数据!#REF!</f>
        <v>#REF!</v>
      </c>
      <c r="N25" s="81"/>
      <c r="O25" s="39"/>
      <c r="P25" s="39"/>
      <c r="Q25" s="39"/>
      <c r="R25" s="39"/>
      <c r="S25" s="39"/>
    </row>
    <row r="26" ht="18.6" customHeight="1" spans="1:19">
      <c r="A26" s="39"/>
      <c r="B26" s="47">
        <v>23</v>
      </c>
      <c r="C26" s="51">
        <f t="shared" si="1"/>
        <v>0.902</v>
      </c>
      <c r="D26" s="52" t="e">
        <f t="shared" si="2"/>
        <v>#REF!</v>
      </c>
      <c r="E26" s="53" t="e">
        <f t="shared" si="3"/>
        <v>#REF!</v>
      </c>
      <c r="F26" s="53" t="e">
        <f t="shared" si="4"/>
        <v>#REF!</v>
      </c>
      <c r="G26" s="54" t="e">
        <f t="shared" si="0"/>
        <v>#REF!</v>
      </c>
      <c r="H26" s="54" t="e">
        <f t="shared" si="5"/>
        <v>#REF!</v>
      </c>
      <c r="I26" s="57"/>
      <c r="J26" s="39"/>
      <c r="K26" s="33" t="s">
        <v>44</v>
      </c>
      <c r="L26" s="33"/>
      <c r="M26" s="81" t="e">
        <f>基础数据!#REF!</f>
        <v>#REF!</v>
      </c>
      <c r="N26" s="81"/>
      <c r="O26" s="39"/>
      <c r="P26" s="39"/>
      <c r="Q26" s="39"/>
      <c r="R26" s="39"/>
      <c r="S26" s="39"/>
    </row>
    <row r="27" ht="18.6" customHeight="1" spans="1:19">
      <c r="A27" s="39"/>
      <c r="B27" s="47">
        <v>24</v>
      </c>
      <c r="C27" s="51">
        <f t="shared" si="1"/>
        <v>0.898</v>
      </c>
      <c r="D27" s="52" t="e">
        <f t="shared" si="2"/>
        <v>#REF!</v>
      </c>
      <c r="E27" s="53" t="e">
        <f t="shared" si="3"/>
        <v>#REF!</v>
      </c>
      <c r="F27" s="53" t="e">
        <f t="shared" si="4"/>
        <v>#REF!</v>
      </c>
      <c r="G27" s="54" t="e">
        <f t="shared" si="0"/>
        <v>#REF!</v>
      </c>
      <c r="H27" s="54" t="e">
        <f t="shared" si="5"/>
        <v>#REF!</v>
      </c>
      <c r="I27" s="57"/>
      <c r="J27" s="39"/>
      <c r="K27" s="33" t="s">
        <v>45</v>
      </c>
      <c r="L27" s="33"/>
      <c r="M27" s="81" t="e">
        <f>基础数据!#REF!</f>
        <v>#REF!</v>
      </c>
      <c r="N27" s="81"/>
      <c r="O27" s="39"/>
      <c r="P27" s="39"/>
      <c r="Q27" s="39"/>
      <c r="R27" s="39"/>
      <c r="S27" s="39"/>
    </row>
    <row r="28" ht="18.6" customHeight="1" spans="1:19">
      <c r="A28" s="39"/>
      <c r="B28" s="47">
        <v>25</v>
      </c>
      <c r="C28" s="51">
        <f t="shared" si="1"/>
        <v>0.894</v>
      </c>
      <c r="D28" s="52" t="e">
        <f t="shared" si="2"/>
        <v>#REF!</v>
      </c>
      <c r="E28" s="53" t="e">
        <f t="shared" si="3"/>
        <v>#REF!</v>
      </c>
      <c r="F28" s="53" t="e">
        <f t="shared" si="4"/>
        <v>#REF!</v>
      </c>
      <c r="G28" s="54" t="e">
        <f t="shared" si="0"/>
        <v>#REF!</v>
      </c>
      <c r="H28" s="54" t="e">
        <f t="shared" si="5"/>
        <v>#REF!</v>
      </c>
      <c r="I28" s="57"/>
      <c r="J28" s="39"/>
      <c r="K28" s="33" t="s">
        <v>46</v>
      </c>
      <c r="L28" s="33"/>
      <c r="M28" s="81" t="e">
        <f>基础数据!#REF!</f>
        <v>#REF!</v>
      </c>
      <c r="N28" s="81"/>
      <c r="O28" s="39"/>
      <c r="P28" s="39"/>
      <c r="Q28" s="39"/>
      <c r="R28" s="39"/>
      <c r="S28" s="39"/>
    </row>
    <row r="29" ht="18.6" customHeight="1" spans="1:19">
      <c r="A29" s="39"/>
      <c r="B29" s="47">
        <v>26</v>
      </c>
      <c r="C29" s="51">
        <f t="shared" si="1"/>
        <v>0.89</v>
      </c>
      <c r="D29" s="52" t="e">
        <f t="shared" si="2"/>
        <v>#REF!</v>
      </c>
      <c r="E29" s="53" t="e">
        <f t="shared" si="3"/>
        <v>#REF!</v>
      </c>
      <c r="F29" s="53" t="e">
        <f t="shared" si="4"/>
        <v>#REF!</v>
      </c>
      <c r="G29" s="54" t="e">
        <f t="shared" si="0"/>
        <v>#REF!</v>
      </c>
      <c r="H29" s="54" t="e">
        <f t="shared" si="5"/>
        <v>#REF!</v>
      </c>
      <c r="J29" s="39"/>
      <c r="K29" s="33" t="s">
        <v>47</v>
      </c>
      <c r="L29" s="33"/>
      <c r="M29" s="81" t="e">
        <f>基础数据!#REF!</f>
        <v>#REF!</v>
      </c>
      <c r="N29" s="81"/>
      <c r="O29" s="39"/>
      <c r="P29" s="39"/>
      <c r="Q29" s="39"/>
      <c r="R29" s="39"/>
      <c r="S29" s="39"/>
    </row>
    <row r="30" ht="18.6" customHeight="1" spans="1:19">
      <c r="A30" s="39"/>
      <c r="B30" s="47">
        <v>27</v>
      </c>
      <c r="C30" s="51">
        <f t="shared" si="1"/>
        <v>0.886</v>
      </c>
      <c r="D30" s="52" t="e">
        <f t="shared" si="2"/>
        <v>#REF!</v>
      </c>
      <c r="E30" s="53" t="e">
        <f t="shared" si="3"/>
        <v>#REF!</v>
      </c>
      <c r="F30" s="53" t="e">
        <f t="shared" si="4"/>
        <v>#REF!</v>
      </c>
      <c r="G30" s="54" t="e">
        <f t="shared" si="0"/>
        <v>#REF!</v>
      </c>
      <c r="H30" s="54" t="e">
        <f t="shared" si="5"/>
        <v>#REF!</v>
      </c>
      <c r="J30" s="39"/>
      <c r="K30" s="33" t="s">
        <v>48</v>
      </c>
      <c r="L30" s="33"/>
      <c r="M30" s="81" t="e">
        <f>基础数据!#REF!</f>
        <v>#REF!</v>
      </c>
      <c r="N30" s="81"/>
      <c r="O30" s="39"/>
      <c r="P30" s="39"/>
      <c r="Q30" s="39"/>
      <c r="R30" s="39"/>
      <c r="S30" s="39"/>
    </row>
    <row r="31" ht="18.6" customHeight="1" spans="1:19">
      <c r="A31" s="39"/>
      <c r="B31" s="47">
        <v>28</v>
      </c>
      <c r="C31" s="51">
        <f t="shared" si="1"/>
        <v>0.882</v>
      </c>
      <c r="D31" s="52" t="e">
        <f t="shared" si="2"/>
        <v>#REF!</v>
      </c>
      <c r="E31" s="53" t="e">
        <f t="shared" si="3"/>
        <v>#REF!</v>
      </c>
      <c r="F31" s="53" t="e">
        <f t="shared" si="4"/>
        <v>#REF!</v>
      </c>
      <c r="G31" s="54" t="e">
        <f t="shared" si="0"/>
        <v>#REF!</v>
      </c>
      <c r="H31" s="54" t="e">
        <f t="shared" si="5"/>
        <v>#REF!</v>
      </c>
      <c r="J31" s="39"/>
      <c r="K31" s="33" t="s">
        <v>49</v>
      </c>
      <c r="L31" s="33"/>
      <c r="M31" s="81" t="e">
        <f>基础数据!#REF!</f>
        <v>#REF!</v>
      </c>
      <c r="N31" s="81"/>
      <c r="O31" s="39"/>
      <c r="P31" s="39"/>
      <c r="Q31" s="39"/>
      <c r="R31" s="39"/>
      <c r="S31" s="39"/>
    </row>
    <row r="32" ht="18.6" customHeight="1" spans="1:19">
      <c r="A32" s="39"/>
      <c r="B32" s="47">
        <v>29</v>
      </c>
      <c r="C32" s="51">
        <f t="shared" si="1"/>
        <v>0.878</v>
      </c>
      <c r="D32" s="52" t="e">
        <f t="shared" si="2"/>
        <v>#REF!</v>
      </c>
      <c r="E32" s="53" t="e">
        <f t="shared" si="3"/>
        <v>#REF!</v>
      </c>
      <c r="F32" s="53" t="e">
        <f t="shared" si="4"/>
        <v>#REF!</v>
      </c>
      <c r="G32" s="54" t="e">
        <f t="shared" si="0"/>
        <v>#REF!</v>
      </c>
      <c r="H32" s="54" t="e">
        <f t="shared" si="5"/>
        <v>#REF!</v>
      </c>
      <c r="J32" s="39"/>
      <c r="K32" s="33" t="s">
        <v>50</v>
      </c>
      <c r="L32" s="33"/>
      <c r="M32" s="81" t="e">
        <f>基础数据!#REF!</f>
        <v>#REF!</v>
      </c>
      <c r="N32" s="81"/>
      <c r="O32" s="39"/>
      <c r="P32" s="39"/>
      <c r="Q32" s="39"/>
      <c r="R32" s="39"/>
      <c r="S32" s="39"/>
    </row>
    <row r="33" ht="18.6" customHeight="1" spans="1:19">
      <c r="A33" s="39"/>
      <c r="B33" s="47">
        <v>30</v>
      </c>
      <c r="C33" s="51">
        <f t="shared" si="1"/>
        <v>0.874</v>
      </c>
      <c r="D33" s="52" t="e">
        <f t="shared" si="2"/>
        <v>#REF!</v>
      </c>
      <c r="E33" s="53" t="e">
        <f t="shared" si="3"/>
        <v>#REF!</v>
      </c>
      <c r="F33" s="53" t="e">
        <f t="shared" si="4"/>
        <v>#REF!</v>
      </c>
      <c r="G33" s="54" t="e">
        <f t="shared" si="0"/>
        <v>#REF!</v>
      </c>
      <c r="H33" s="54" t="e">
        <f t="shared" si="5"/>
        <v>#REF!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ht="18.6" customHeight="1" spans="1:8">
      <c r="A34" s="39"/>
      <c r="B34" s="55" t="s">
        <v>52</v>
      </c>
      <c r="C34" s="55"/>
      <c r="D34" s="56" t="e">
        <f>SUM(D4:D33)</f>
        <v>#REF!</v>
      </c>
      <c r="E34" s="56" t="e">
        <f>SUM(E4:E33)</f>
        <v>#REF!</v>
      </c>
      <c r="F34" s="56" t="e">
        <f>SUM(F4:F33)</f>
        <v>#REF!</v>
      </c>
      <c r="G34" s="56" t="e">
        <f>SUM(G4:G33)</f>
        <v>#REF!</v>
      </c>
      <c r="H34" s="46"/>
    </row>
    <row r="35" ht="18.6" customHeight="1" spans="1:8">
      <c r="A35" s="39" t="s">
        <v>109</v>
      </c>
      <c r="B35" s="46"/>
      <c r="C35" s="46"/>
      <c r="D35" s="46"/>
      <c r="E35" s="46"/>
      <c r="F35" s="46"/>
      <c r="G35" s="46"/>
      <c r="H35" s="46"/>
    </row>
    <row r="36" ht="22.5" customHeight="1" spans="4:4">
      <c r="D36" s="57"/>
    </row>
    <row r="37" ht="22.5" customHeight="1"/>
  </sheetData>
  <mergeCells count="38">
    <mergeCell ref="K1:S1"/>
    <mergeCell ref="B2:D2"/>
    <mergeCell ref="L8:P8"/>
    <mergeCell ref="K10:S10"/>
    <mergeCell ref="L17:P17"/>
    <mergeCell ref="K19:N19"/>
    <mergeCell ref="K20:L20"/>
    <mergeCell ref="M20:N20"/>
    <mergeCell ref="K21:L21"/>
    <mergeCell ref="M21:N21"/>
    <mergeCell ref="K22:L22"/>
    <mergeCell ref="M22:N22"/>
    <mergeCell ref="K23:L23"/>
    <mergeCell ref="M23:N23"/>
    <mergeCell ref="K24:L24"/>
    <mergeCell ref="M24:N24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K30:L30"/>
    <mergeCell ref="M30:N30"/>
    <mergeCell ref="K31:L31"/>
    <mergeCell ref="M31:N31"/>
    <mergeCell ref="K32:L32"/>
    <mergeCell ref="M32:N32"/>
    <mergeCell ref="B34:C34"/>
    <mergeCell ref="K2:K3"/>
    <mergeCell ref="K4:K5"/>
    <mergeCell ref="K11:K12"/>
    <mergeCell ref="K13:K14"/>
    <mergeCell ref="P4:P5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74"/>
  <sheetViews>
    <sheetView zoomScale="85" zoomScaleNormal="85" workbookViewId="0">
      <selection activeCell="B2" sqref="B2:I36"/>
    </sheetView>
  </sheetViews>
  <sheetFormatPr defaultColWidth="9" defaultRowHeight="14.25"/>
  <cols>
    <col min="2" max="2" width="4.5" customWidth="1"/>
    <col min="3" max="4" width="12.5" customWidth="1"/>
    <col min="5" max="5" width="12.5" style="1" customWidth="1"/>
    <col min="6" max="7" width="12.5" customWidth="1"/>
    <col min="8" max="9" width="14.5" customWidth="1"/>
    <col min="10" max="10" width="11.625" customWidth="1"/>
    <col min="11" max="11" width="4.5" customWidth="1"/>
    <col min="12" max="15" width="12.5" customWidth="1"/>
    <col min="16" max="18" width="14.5" customWidth="1"/>
    <col min="21" max="21" width="13.875" customWidth="1"/>
    <col min="23" max="24" width="15.625" customWidth="1"/>
    <col min="25" max="25" width="13.875" customWidth="1"/>
  </cols>
  <sheetData>
    <row r="1" ht="15"/>
    <row r="2" ht="18" spans="2:25">
      <c r="B2" s="2" t="s">
        <v>242</v>
      </c>
      <c r="C2" s="3"/>
      <c r="D2" s="3"/>
      <c r="E2" s="4"/>
      <c r="F2" s="3"/>
      <c r="G2" s="3"/>
      <c r="H2" s="3"/>
      <c r="I2" s="20"/>
      <c r="K2" s="21" t="s">
        <v>243</v>
      </c>
      <c r="L2" s="22"/>
      <c r="M2" s="22"/>
      <c r="N2" s="22"/>
      <c r="O2" s="22"/>
      <c r="P2" s="22"/>
      <c r="Q2" s="22"/>
      <c r="R2" s="32"/>
      <c r="T2" s="17" t="s">
        <v>244</v>
      </c>
      <c r="U2" s="17"/>
      <c r="V2" s="17"/>
      <c r="W2" s="17"/>
      <c r="X2" s="17"/>
      <c r="Y2" s="39"/>
    </row>
    <row r="3" ht="18" spans="2:25">
      <c r="B3" s="5" t="s">
        <v>86</v>
      </c>
      <c r="C3" s="5" t="s">
        <v>38</v>
      </c>
      <c r="D3" s="5" t="s">
        <v>88</v>
      </c>
      <c r="E3" s="6" t="s">
        <v>201</v>
      </c>
      <c r="F3" s="5" t="s">
        <v>111</v>
      </c>
      <c r="G3" s="6" t="s">
        <v>112</v>
      </c>
      <c r="H3" s="6" t="s">
        <v>245</v>
      </c>
      <c r="I3" s="6" t="s">
        <v>202</v>
      </c>
      <c r="K3" s="23" t="s">
        <v>86</v>
      </c>
      <c r="L3" s="23" t="s">
        <v>38</v>
      </c>
      <c r="M3" s="23" t="s">
        <v>88</v>
      </c>
      <c r="N3" s="23" t="s">
        <v>111</v>
      </c>
      <c r="O3" s="23" t="s">
        <v>112</v>
      </c>
      <c r="P3" s="23" t="s">
        <v>246</v>
      </c>
      <c r="Q3" s="23" t="s">
        <v>245</v>
      </c>
      <c r="R3" s="23" t="s">
        <v>202</v>
      </c>
      <c r="T3" s="33" t="s">
        <v>247</v>
      </c>
      <c r="U3" s="33" t="s">
        <v>248</v>
      </c>
      <c r="V3" s="33" t="s">
        <v>249</v>
      </c>
      <c r="W3" s="33" t="s">
        <v>250</v>
      </c>
      <c r="X3" s="34" t="s">
        <v>251</v>
      </c>
      <c r="Y3" s="34" t="s">
        <v>252</v>
      </c>
    </row>
    <row r="4" ht="18" spans="2:25">
      <c r="B4" s="7">
        <v>0</v>
      </c>
      <c r="C4" s="8">
        <v>0</v>
      </c>
      <c r="D4" s="8">
        <v>0</v>
      </c>
      <c r="E4" s="9">
        <f>基础数据!H7</f>
        <v>2000000</v>
      </c>
      <c r="F4" s="7">
        <v>0</v>
      </c>
      <c r="G4" s="9">
        <v>0</v>
      </c>
      <c r="H4" s="10">
        <f>-E4</f>
        <v>-2000000</v>
      </c>
      <c r="I4" s="10">
        <f>H4</f>
        <v>-2000000</v>
      </c>
      <c r="J4" s="24"/>
      <c r="K4" s="23">
        <v>0</v>
      </c>
      <c r="L4" s="25">
        <v>0</v>
      </c>
      <c r="M4" s="25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T4" s="35">
        <v>0.0365</v>
      </c>
      <c r="U4" s="36">
        <f>E4</f>
        <v>2000000</v>
      </c>
      <c r="V4" s="36">
        <v>5</v>
      </c>
      <c r="W4" s="37">
        <f>PMT(T4/12,V4*12,U4)</f>
        <v>-36517.9946435762</v>
      </c>
      <c r="X4" s="38">
        <f>W4*12</f>
        <v>-438215.935722915</v>
      </c>
      <c r="Y4" s="40">
        <f>(-X4*V4)-U4</f>
        <v>191079.678614574</v>
      </c>
    </row>
    <row r="5" ht="18" spans="2:25">
      <c r="B5" s="7">
        <v>1</v>
      </c>
      <c r="C5" s="11" t="e">
        <f>光伏发电衰减表min!D4</f>
        <v>#REF!</v>
      </c>
      <c r="D5" s="11" t="e">
        <f>光伏发电衰减表min!G4</f>
        <v>#REF!</v>
      </c>
      <c r="E5" s="9">
        <v>0</v>
      </c>
      <c r="F5" s="7">
        <f>基础数据!J29</f>
        <v>30000</v>
      </c>
      <c r="G5" s="9">
        <f>基础数据!J27</f>
        <v>7000</v>
      </c>
      <c r="H5" s="12" t="e">
        <f>D5-F5-G5</f>
        <v>#REF!</v>
      </c>
      <c r="I5" s="10" t="e">
        <f>I4+H5</f>
        <v>#REF!</v>
      </c>
      <c r="J5" s="26"/>
      <c r="K5" s="23">
        <v>1</v>
      </c>
      <c r="L5" s="27" t="e">
        <f>光伏发电衰减表min!D4</f>
        <v>#REF!</v>
      </c>
      <c r="M5" s="27" t="e">
        <f>光伏发电衰减表min!G4</f>
        <v>#REF!</v>
      </c>
      <c r="N5" s="23">
        <f>基础数据!J29</f>
        <v>30000</v>
      </c>
      <c r="O5" s="28">
        <f>基础数据!J27</f>
        <v>7000</v>
      </c>
      <c r="P5" s="29">
        <f>X4</f>
        <v>-438215.935722915</v>
      </c>
      <c r="Q5" s="29" t="e">
        <f>M5-N5-O5+P5</f>
        <v>#REF!</v>
      </c>
      <c r="R5" s="29" t="e">
        <f>Q5+R4</f>
        <v>#REF!</v>
      </c>
      <c r="T5" s="39"/>
      <c r="U5" s="39"/>
      <c r="V5" s="39"/>
      <c r="W5" s="39"/>
      <c r="X5" s="39"/>
      <c r="Y5" s="39"/>
    </row>
    <row r="6" ht="17.25" spans="2:18">
      <c r="B6" s="7">
        <v>2</v>
      </c>
      <c r="C6" s="11" t="e">
        <f>光伏发电衰减表min!D5</f>
        <v>#REF!</v>
      </c>
      <c r="D6" s="11" t="e">
        <f>光伏发电衰减表min!G5</f>
        <v>#REF!</v>
      </c>
      <c r="E6" s="9">
        <v>0</v>
      </c>
      <c r="F6" s="7">
        <f>基础数据!J29</f>
        <v>30000</v>
      </c>
      <c r="G6" s="9">
        <f>基础数据!J27</f>
        <v>7000</v>
      </c>
      <c r="H6" s="12" t="e">
        <f>D6-F6-G6</f>
        <v>#REF!</v>
      </c>
      <c r="I6" s="10" t="e">
        <f>H6+I5</f>
        <v>#REF!</v>
      </c>
      <c r="J6" s="26"/>
      <c r="K6" s="23">
        <v>2</v>
      </c>
      <c r="L6" s="27" t="e">
        <f>光伏发电衰减表min!D5</f>
        <v>#REF!</v>
      </c>
      <c r="M6" s="27" t="e">
        <f>光伏发电衰减表min!G5</f>
        <v>#REF!</v>
      </c>
      <c r="N6" s="23">
        <f>基础数据!J29</f>
        <v>30000</v>
      </c>
      <c r="O6" s="28">
        <f>基础数据!J27</f>
        <v>7000</v>
      </c>
      <c r="P6" s="29">
        <f>X4</f>
        <v>-438215.935722915</v>
      </c>
      <c r="Q6" s="29" t="e">
        <f>M6-N6-O6+P6</f>
        <v>#REF!</v>
      </c>
      <c r="R6" s="29" t="e">
        <f>Q6+R5</f>
        <v>#REF!</v>
      </c>
    </row>
    <row r="7" ht="17.25" spans="2:18">
      <c r="B7" s="7">
        <v>3</v>
      </c>
      <c r="C7" s="11" t="e">
        <f>光伏发电衰减表min!D6</f>
        <v>#REF!</v>
      </c>
      <c r="D7" s="11" t="e">
        <f>光伏发电衰减表min!G6</f>
        <v>#REF!</v>
      </c>
      <c r="E7" s="9">
        <v>0</v>
      </c>
      <c r="F7" s="7">
        <f>基础数据!J29</f>
        <v>30000</v>
      </c>
      <c r="G7" s="9">
        <f>基础数据!J27</f>
        <v>7000</v>
      </c>
      <c r="H7" s="12" t="e">
        <f t="shared" ref="H7:H34" si="0">D7-F7-G7</f>
        <v>#REF!</v>
      </c>
      <c r="I7" s="10" t="e">
        <f>H7+I6</f>
        <v>#REF!</v>
      </c>
      <c r="J7" s="26"/>
      <c r="K7" s="23">
        <v>3</v>
      </c>
      <c r="L7" s="27" t="e">
        <f>光伏发电衰减表min!D6</f>
        <v>#REF!</v>
      </c>
      <c r="M7" s="27" t="e">
        <f>光伏发电衰减表min!G6</f>
        <v>#REF!</v>
      </c>
      <c r="N7" s="23">
        <f>基础数据!J29</f>
        <v>30000</v>
      </c>
      <c r="O7" s="28">
        <f>基础数据!J27</f>
        <v>7000</v>
      </c>
      <c r="P7" s="29">
        <f>X4</f>
        <v>-438215.935722915</v>
      </c>
      <c r="Q7" s="29" t="e">
        <f t="shared" ref="Q7:Q34" si="1">M7-N7-O7+P7</f>
        <v>#REF!</v>
      </c>
      <c r="R7" s="29" t="e">
        <f>Q7+R6</f>
        <v>#REF!</v>
      </c>
    </row>
    <row r="8" ht="17.25" spans="2:18">
      <c r="B8" s="7">
        <v>4</v>
      </c>
      <c r="C8" s="11" t="e">
        <f>光伏发电衰减表min!D7</f>
        <v>#REF!</v>
      </c>
      <c r="D8" s="11" t="e">
        <f>光伏发电衰减表min!G7</f>
        <v>#REF!</v>
      </c>
      <c r="E8" s="9">
        <v>0</v>
      </c>
      <c r="F8" s="7">
        <f>基础数据!J29</f>
        <v>30000</v>
      </c>
      <c r="G8" s="9">
        <f>基础数据!J27</f>
        <v>7000</v>
      </c>
      <c r="H8" s="12" t="e">
        <f t="shared" si="0"/>
        <v>#REF!</v>
      </c>
      <c r="I8" s="10" t="e">
        <f t="shared" ref="I8:I34" si="2">H8+I7</f>
        <v>#REF!</v>
      </c>
      <c r="J8" s="26"/>
      <c r="K8" s="23">
        <v>4</v>
      </c>
      <c r="L8" s="27" t="e">
        <f>光伏发电衰减表min!D7</f>
        <v>#REF!</v>
      </c>
      <c r="M8" s="27" t="e">
        <f>光伏发电衰减表min!G7</f>
        <v>#REF!</v>
      </c>
      <c r="N8" s="23">
        <f>基础数据!J29</f>
        <v>30000</v>
      </c>
      <c r="O8" s="28">
        <f>基础数据!J27</f>
        <v>7000</v>
      </c>
      <c r="P8" s="29">
        <f>X4</f>
        <v>-438215.935722915</v>
      </c>
      <c r="Q8" s="29" t="e">
        <f t="shared" si="1"/>
        <v>#REF!</v>
      </c>
      <c r="R8" s="29" t="e">
        <f t="shared" ref="R8:R34" si="3">Q8+R7</f>
        <v>#REF!</v>
      </c>
    </row>
    <row r="9" ht="17.25" spans="2:18">
      <c r="B9" s="13">
        <v>5</v>
      </c>
      <c r="C9" s="14" t="e">
        <f>光伏发电衰减表min!D8</f>
        <v>#REF!</v>
      </c>
      <c r="D9" s="14" t="e">
        <f>光伏发电衰减表min!G8</f>
        <v>#REF!</v>
      </c>
      <c r="E9" s="15">
        <v>0</v>
      </c>
      <c r="F9" s="13">
        <f>基础数据!J29</f>
        <v>30000</v>
      </c>
      <c r="G9" s="15">
        <f>基础数据!J27</f>
        <v>7000</v>
      </c>
      <c r="H9" s="16" t="e">
        <f t="shared" si="0"/>
        <v>#REF!</v>
      </c>
      <c r="I9" s="30" t="e">
        <f t="shared" si="2"/>
        <v>#REF!</v>
      </c>
      <c r="J9" s="26"/>
      <c r="K9" s="23">
        <v>5</v>
      </c>
      <c r="L9" s="27" t="e">
        <f>光伏发电衰减表min!D8</f>
        <v>#REF!</v>
      </c>
      <c r="M9" s="27" t="e">
        <f>光伏发电衰减表min!G8</f>
        <v>#REF!</v>
      </c>
      <c r="N9" s="23">
        <f>基础数据!J29</f>
        <v>30000</v>
      </c>
      <c r="O9" s="28">
        <f>基础数据!J27</f>
        <v>7000</v>
      </c>
      <c r="P9" s="29">
        <f>X4</f>
        <v>-438215.935722915</v>
      </c>
      <c r="Q9" s="29" t="e">
        <f t="shared" si="1"/>
        <v>#REF!</v>
      </c>
      <c r="R9" s="29" t="e">
        <f t="shared" si="3"/>
        <v>#REF!</v>
      </c>
    </row>
    <row r="10" ht="17.25" spans="2:18">
      <c r="B10" s="7">
        <v>6</v>
      </c>
      <c r="C10" s="11" t="e">
        <f>光伏发电衰减表min!D9</f>
        <v>#REF!</v>
      </c>
      <c r="D10" s="11" t="e">
        <f>光伏发电衰减表min!G9</f>
        <v>#REF!</v>
      </c>
      <c r="E10" s="9">
        <v>0</v>
      </c>
      <c r="F10" s="7">
        <f>基础数据!J29</f>
        <v>30000</v>
      </c>
      <c r="G10" s="9">
        <f>基础数据!J27</f>
        <v>7000</v>
      </c>
      <c r="H10" s="12" t="e">
        <f t="shared" si="0"/>
        <v>#REF!</v>
      </c>
      <c r="I10" s="10" t="e">
        <f t="shared" si="2"/>
        <v>#REF!</v>
      </c>
      <c r="J10" s="26"/>
      <c r="K10" s="23">
        <v>6</v>
      </c>
      <c r="L10" s="27" t="e">
        <f>光伏发电衰减表min!D9</f>
        <v>#REF!</v>
      </c>
      <c r="M10" s="27" t="e">
        <f>光伏发电衰减表min!G9</f>
        <v>#REF!</v>
      </c>
      <c r="N10" s="23">
        <f>基础数据!J29</f>
        <v>30000</v>
      </c>
      <c r="O10" s="28">
        <f>基础数据!J27</f>
        <v>7000</v>
      </c>
      <c r="P10" s="29">
        <v>0</v>
      </c>
      <c r="Q10" s="29" t="e">
        <f t="shared" si="1"/>
        <v>#REF!</v>
      </c>
      <c r="R10" s="29" t="e">
        <f t="shared" si="3"/>
        <v>#REF!</v>
      </c>
    </row>
    <row r="11" ht="17.25" spans="2:18">
      <c r="B11" s="7">
        <v>7</v>
      </c>
      <c r="C11" s="11" t="e">
        <f>光伏发电衰减表min!D10</f>
        <v>#REF!</v>
      </c>
      <c r="D11" s="11" t="e">
        <f>光伏发电衰减表min!G10</f>
        <v>#REF!</v>
      </c>
      <c r="E11" s="9">
        <v>0</v>
      </c>
      <c r="F11" s="7">
        <f>基础数据!J29</f>
        <v>30000</v>
      </c>
      <c r="G11" s="9">
        <f>基础数据!J27</f>
        <v>7000</v>
      </c>
      <c r="H11" s="12" t="e">
        <f t="shared" si="0"/>
        <v>#REF!</v>
      </c>
      <c r="I11" s="10" t="e">
        <f t="shared" si="2"/>
        <v>#REF!</v>
      </c>
      <c r="J11" s="26"/>
      <c r="K11" s="23">
        <v>7</v>
      </c>
      <c r="L11" s="27" t="e">
        <f>光伏发电衰减表min!D10</f>
        <v>#REF!</v>
      </c>
      <c r="M11" s="27" t="e">
        <f>光伏发电衰减表min!G10</f>
        <v>#REF!</v>
      </c>
      <c r="N11" s="23">
        <f>基础数据!J29</f>
        <v>30000</v>
      </c>
      <c r="O11" s="28">
        <f>基础数据!J27</f>
        <v>7000</v>
      </c>
      <c r="P11" s="29">
        <v>0</v>
      </c>
      <c r="Q11" s="29" t="e">
        <f t="shared" si="1"/>
        <v>#REF!</v>
      </c>
      <c r="R11" s="29" t="e">
        <f t="shared" si="3"/>
        <v>#REF!</v>
      </c>
    </row>
    <row r="12" ht="17.25" spans="2:18">
      <c r="B12" s="7">
        <v>8</v>
      </c>
      <c r="C12" s="11" t="e">
        <f>光伏发电衰减表min!D11</f>
        <v>#REF!</v>
      </c>
      <c r="D12" s="11" t="e">
        <f>光伏发电衰减表min!G11</f>
        <v>#REF!</v>
      </c>
      <c r="E12" s="9">
        <v>0</v>
      </c>
      <c r="F12" s="7">
        <f>基础数据!J29</f>
        <v>30000</v>
      </c>
      <c r="G12" s="9">
        <f>基础数据!J27</f>
        <v>7000</v>
      </c>
      <c r="H12" s="12" t="e">
        <f t="shared" si="0"/>
        <v>#REF!</v>
      </c>
      <c r="I12" s="10" t="e">
        <f t="shared" si="2"/>
        <v>#REF!</v>
      </c>
      <c r="J12" s="26"/>
      <c r="K12" s="23">
        <v>8</v>
      </c>
      <c r="L12" s="27" t="e">
        <f>光伏发电衰减表min!D11</f>
        <v>#REF!</v>
      </c>
      <c r="M12" s="27" t="e">
        <f>光伏发电衰减表min!G11</f>
        <v>#REF!</v>
      </c>
      <c r="N12" s="23">
        <f>基础数据!J29</f>
        <v>30000</v>
      </c>
      <c r="O12" s="28">
        <f>基础数据!J27</f>
        <v>7000</v>
      </c>
      <c r="P12" s="29">
        <v>0</v>
      </c>
      <c r="Q12" s="29" t="e">
        <f t="shared" si="1"/>
        <v>#REF!</v>
      </c>
      <c r="R12" s="29" t="e">
        <f t="shared" si="3"/>
        <v>#REF!</v>
      </c>
    </row>
    <row r="13" ht="17.25" spans="2:18">
      <c r="B13" s="7">
        <v>9</v>
      </c>
      <c r="C13" s="11" t="e">
        <f>光伏发电衰减表min!D12</f>
        <v>#REF!</v>
      </c>
      <c r="D13" s="11" t="e">
        <f>光伏发电衰减表min!G12</f>
        <v>#REF!</v>
      </c>
      <c r="E13" s="9">
        <v>0</v>
      </c>
      <c r="F13" s="7">
        <f>基础数据!J29</f>
        <v>30000</v>
      </c>
      <c r="G13" s="9">
        <f>基础数据!J27</f>
        <v>7000</v>
      </c>
      <c r="H13" s="12" t="e">
        <f t="shared" si="0"/>
        <v>#REF!</v>
      </c>
      <c r="I13" s="10" t="e">
        <f t="shared" si="2"/>
        <v>#REF!</v>
      </c>
      <c r="J13" s="26"/>
      <c r="K13" s="23">
        <v>9</v>
      </c>
      <c r="L13" s="27" t="e">
        <f>光伏发电衰减表min!D12</f>
        <v>#REF!</v>
      </c>
      <c r="M13" s="27" t="e">
        <f>光伏发电衰减表min!G12</f>
        <v>#REF!</v>
      </c>
      <c r="N13" s="23">
        <f>基础数据!J29</f>
        <v>30000</v>
      </c>
      <c r="O13" s="28">
        <f>基础数据!J27</f>
        <v>7000</v>
      </c>
      <c r="P13" s="29">
        <v>0</v>
      </c>
      <c r="Q13" s="29" t="e">
        <f t="shared" si="1"/>
        <v>#REF!</v>
      </c>
      <c r="R13" s="29" t="e">
        <f t="shared" si="3"/>
        <v>#REF!</v>
      </c>
    </row>
    <row r="14" ht="17.25" spans="2:18">
      <c r="B14" s="7">
        <v>10</v>
      </c>
      <c r="C14" s="11" t="e">
        <f>光伏发电衰减表min!D13</f>
        <v>#REF!</v>
      </c>
      <c r="D14" s="11" t="e">
        <f>光伏发电衰减表min!G13</f>
        <v>#REF!</v>
      </c>
      <c r="E14" s="9">
        <v>0</v>
      </c>
      <c r="F14" s="7">
        <f>基础数据!J29</f>
        <v>30000</v>
      </c>
      <c r="G14" s="9">
        <f>基础数据!J27</f>
        <v>7000</v>
      </c>
      <c r="H14" s="12" t="e">
        <f t="shared" si="0"/>
        <v>#REF!</v>
      </c>
      <c r="I14" s="10" t="e">
        <f t="shared" si="2"/>
        <v>#REF!</v>
      </c>
      <c r="J14" s="26"/>
      <c r="K14" s="23">
        <v>10</v>
      </c>
      <c r="L14" s="27" t="e">
        <f>光伏发电衰减表min!D13</f>
        <v>#REF!</v>
      </c>
      <c r="M14" s="27" t="e">
        <f>光伏发电衰减表min!G13</f>
        <v>#REF!</v>
      </c>
      <c r="N14" s="23">
        <f>基础数据!J29</f>
        <v>30000</v>
      </c>
      <c r="O14" s="28">
        <f>基础数据!J27</f>
        <v>7000</v>
      </c>
      <c r="P14" s="29">
        <v>0</v>
      </c>
      <c r="Q14" s="29" t="e">
        <f t="shared" si="1"/>
        <v>#REF!</v>
      </c>
      <c r="R14" s="29" t="e">
        <f t="shared" si="3"/>
        <v>#REF!</v>
      </c>
    </row>
    <row r="15" ht="17.25" spans="2:18">
      <c r="B15" s="7">
        <v>11</v>
      </c>
      <c r="C15" s="11" t="e">
        <f>光伏发电衰减表min!D14</f>
        <v>#REF!</v>
      </c>
      <c r="D15" s="11" t="e">
        <f>光伏发电衰减表min!G14</f>
        <v>#REF!</v>
      </c>
      <c r="E15" s="9">
        <v>0</v>
      </c>
      <c r="F15" s="7">
        <f>基础数据!J29</f>
        <v>30000</v>
      </c>
      <c r="G15" s="9">
        <f>基础数据!J27</f>
        <v>7000</v>
      </c>
      <c r="H15" s="12" t="e">
        <f t="shared" si="0"/>
        <v>#REF!</v>
      </c>
      <c r="I15" s="10" t="e">
        <f t="shared" si="2"/>
        <v>#REF!</v>
      </c>
      <c r="J15" s="26"/>
      <c r="K15" s="23">
        <v>11</v>
      </c>
      <c r="L15" s="27" t="e">
        <f>光伏发电衰减表min!D14</f>
        <v>#REF!</v>
      </c>
      <c r="M15" s="27" t="e">
        <f>光伏发电衰减表min!G14</f>
        <v>#REF!</v>
      </c>
      <c r="N15" s="23">
        <f>基础数据!J29</f>
        <v>30000</v>
      </c>
      <c r="O15" s="28">
        <f>基础数据!J27</f>
        <v>7000</v>
      </c>
      <c r="P15" s="29">
        <v>0</v>
      </c>
      <c r="Q15" s="29" t="e">
        <f t="shared" si="1"/>
        <v>#REF!</v>
      </c>
      <c r="R15" s="29" t="e">
        <f t="shared" si="3"/>
        <v>#REF!</v>
      </c>
    </row>
    <row r="16" ht="17.25" spans="2:18">
      <c r="B16" s="7">
        <v>12</v>
      </c>
      <c r="C16" s="11" t="e">
        <f>光伏发电衰减表min!D15</f>
        <v>#REF!</v>
      </c>
      <c r="D16" s="11" t="e">
        <f>光伏发电衰减表min!G15</f>
        <v>#REF!</v>
      </c>
      <c r="E16" s="9">
        <v>0</v>
      </c>
      <c r="F16" s="7">
        <f>基础数据!J29</f>
        <v>30000</v>
      </c>
      <c r="G16" s="9">
        <f>基础数据!J27</f>
        <v>7000</v>
      </c>
      <c r="H16" s="12" t="e">
        <f t="shared" si="0"/>
        <v>#REF!</v>
      </c>
      <c r="I16" s="10" t="e">
        <f t="shared" si="2"/>
        <v>#REF!</v>
      </c>
      <c r="J16" s="26"/>
      <c r="K16" s="23">
        <v>12</v>
      </c>
      <c r="L16" s="27" t="e">
        <f>光伏发电衰减表min!D15</f>
        <v>#REF!</v>
      </c>
      <c r="M16" s="27" t="e">
        <f>光伏发电衰减表min!G15</f>
        <v>#REF!</v>
      </c>
      <c r="N16" s="23">
        <f>基础数据!J29</f>
        <v>30000</v>
      </c>
      <c r="O16" s="28">
        <f>基础数据!J27</f>
        <v>7000</v>
      </c>
      <c r="P16" s="29">
        <v>0</v>
      </c>
      <c r="Q16" s="29" t="e">
        <f t="shared" si="1"/>
        <v>#REF!</v>
      </c>
      <c r="R16" s="29" t="e">
        <f t="shared" si="3"/>
        <v>#REF!</v>
      </c>
    </row>
    <row r="17" ht="17.25" spans="2:18">
      <c r="B17" s="7">
        <v>13</v>
      </c>
      <c r="C17" s="11" t="e">
        <f>光伏发电衰减表min!D16</f>
        <v>#REF!</v>
      </c>
      <c r="D17" s="11" t="e">
        <f>光伏发电衰减表min!G16</f>
        <v>#REF!</v>
      </c>
      <c r="E17" s="9">
        <v>0</v>
      </c>
      <c r="F17" s="7">
        <f>基础数据!J29</f>
        <v>30000</v>
      </c>
      <c r="G17" s="9">
        <f>基础数据!J27</f>
        <v>7000</v>
      </c>
      <c r="H17" s="12" t="e">
        <f t="shared" si="0"/>
        <v>#REF!</v>
      </c>
      <c r="I17" s="10" t="e">
        <f t="shared" si="2"/>
        <v>#REF!</v>
      </c>
      <c r="J17" s="26"/>
      <c r="K17" s="23">
        <v>13</v>
      </c>
      <c r="L17" s="27" t="e">
        <f>光伏发电衰减表min!D16</f>
        <v>#REF!</v>
      </c>
      <c r="M17" s="27" t="e">
        <f>光伏发电衰减表min!G16</f>
        <v>#REF!</v>
      </c>
      <c r="N17" s="23">
        <f>基础数据!J29</f>
        <v>30000</v>
      </c>
      <c r="O17" s="28">
        <f>基础数据!J27</f>
        <v>7000</v>
      </c>
      <c r="P17" s="29">
        <v>0</v>
      </c>
      <c r="Q17" s="29" t="e">
        <f t="shared" si="1"/>
        <v>#REF!</v>
      </c>
      <c r="R17" s="29" t="e">
        <f t="shared" si="3"/>
        <v>#REF!</v>
      </c>
    </row>
    <row r="18" ht="17.25" spans="2:18">
      <c r="B18" s="7">
        <v>14</v>
      </c>
      <c r="C18" s="11" t="e">
        <f>光伏发电衰减表min!D17</f>
        <v>#REF!</v>
      </c>
      <c r="D18" s="11" t="e">
        <f>光伏发电衰减表min!G17</f>
        <v>#REF!</v>
      </c>
      <c r="E18" s="9">
        <v>0</v>
      </c>
      <c r="F18" s="7">
        <f>基础数据!J29</f>
        <v>30000</v>
      </c>
      <c r="G18" s="9">
        <f>基础数据!J27</f>
        <v>7000</v>
      </c>
      <c r="H18" s="12" t="e">
        <f t="shared" si="0"/>
        <v>#REF!</v>
      </c>
      <c r="I18" s="10" t="e">
        <f t="shared" si="2"/>
        <v>#REF!</v>
      </c>
      <c r="J18" s="26"/>
      <c r="K18" s="23">
        <v>14</v>
      </c>
      <c r="L18" s="27" t="e">
        <f>光伏发电衰减表min!D17</f>
        <v>#REF!</v>
      </c>
      <c r="M18" s="27" t="e">
        <f>光伏发电衰减表min!G17</f>
        <v>#REF!</v>
      </c>
      <c r="N18" s="23">
        <f>基础数据!J29</f>
        <v>30000</v>
      </c>
      <c r="O18" s="28">
        <f>基础数据!J27</f>
        <v>7000</v>
      </c>
      <c r="P18" s="29">
        <v>0</v>
      </c>
      <c r="Q18" s="29" t="e">
        <f t="shared" si="1"/>
        <v>#REF!</v>
      </c>
      <c r="R18" s="29" t="e">
        <f t="shared" si="3"/>
        <v>#REF!</v>
      </c>
    </row>
    <row r="19" ht="17.25" spans="2:18">
      <c r="B19" s="7">
        <v>15</v>
      </c>
      <c r="C19" s="11" t="e">
        <f>光伏发电衰减表min!D18</f>
        <v>#REF!</v>
      </c>
      <c r="D19" s="11" t="e">
        <f>光伏发电衰减表min!G18</f>
        <v>#REF!</v>
      </c>
      <c r="E19" s="9">
        <v>0</v>
      </c>
      <c r="F19" s="7">
        <f>基础数据!J29</f>
        <v>30000</v>
      </c>
      <c r="G19" s="9">
        <f>基础数据!J27</f>
        <v>7000</v>
      </c>
      <c r="H19" s="12" t="e">
        <f t="shared" si="0"/>
        <v>#REF!</v>
      </c>
      <c r="I19" s="10" t="e">
        <f t="shared" si="2"/>
        <v>#REF!</v>
      </c>
      <c r="J19" s="26"/>
      <c r="K19" s="23">
        <v>15</v>
      </c>
      <c r="L19" s="27" t="e">
        <f>光伏发电衰减表min!D18</f>
        <v>#REF!</v>
      </c>
      <c r="M19" s="27" t="e">
        <f>光伏发电衰减表min!G18</f>
        <v>#REF!</v>
      </c>
      <c r="N19" s="23">
        <f>基础数据!J29</f>
        <v>30000</v>
      </c>
      <c r="O19" s="28">
        <f>基础数据!J27</f>
        <v>7000</v>
      </c>
      <c r="P19" s="29">
        <v>0</v>
      </c>
      <c r="Q19" s="29" t="e">
        <f t="shared" si="1"/>
        <v>#REF!</v>
      </c>
      <c r="R19" s="29" t="e">
        <f t="shared" si="3"/>
        <v>#REF!</v>
      </c>
    </row>
    <row r="20" ht="17.25" spans="2:18">
      <c r="B20" s="7">
        <v>16</v>
      </c>
      <c r="C20" s="11" t="e">
        <f>光伏发电衰减表min!D19</f>
        <v>#REF!</v>
      </c>
      <c r="D20" s="11" t="e">
        <f>光伏发电衰减表min!G19</f>
        <v>#REF!</v>
      </c>
      <c r="E20" s="9">
        <v>0</v>
      </c>
      <c r="F20" s="7">
        <f>基础数据!J29</f>
        <v>30000</v>
      </c>
      <c r="G20" s="9">
        <f>基础数据!J27</f>
        <v>7000</v>
      </c>
      <c r="H20" s="12" t="e">
        <f t="shared" si="0"/>
        <v>#REF!</v>
      </c>
      <c r="I20" s="10" t="e">
        <f t="shared" si="2"/>
        <v>#REF!</v>
      </c>
      <c r="J20" s="26"/>
      <c r="K20" s="23">
        <v>16</v>
      </c>
      <c r="L20" s="27" t="e">
        <f>光伏发电衰减表min!D19</f>
        <v>#REF!</v>
      </c>
      <c r="M20" s="27" t="e">
        <f>光伏发电衰减表min!G19</f>
        <v>#REF!</v>
      </c>
      <c r="N20" s="23">
        <f>基础数据!J29</f>
        <v>30000</v>
      </c>
      <c r="O20" s="28">
        <f>基础数据!J27</f>
        <v>7000</v>
      </c>
      <c r="P20" s="29">
        <v>0</v>
      </c>
      <c r="Q20" s="29" t="e">
        <f t="shared" si="1"/>
        <v>#REF!</v>
      </c>
      <c r="R20" s="29" t="e">
        <f t="shared" si="3"/>
        <v>#REF!</v>
      </c>
    </row>
    <row r="21" ht="17.25" spans="2:18">
      <c r="B21" s="7">
        <v>17</v>
      </c>
      <c r="C21" s="11" t="e">
        <f>光伏发电衰减表min!D20</f>
        <v>#REF!</v>
      </c>
      <c r="D21" s="11" t="e">
        <f>光伏发电衰减表min!G20</f>
        <v>#REF!</v>
      </c>
      <c r="E21" s="9">
        <v>0</v>
      </c>
      <c r="F21" s="7">
        <f>基础数据!J29</f>
        <v>30000</v>
      </c>
      <c r="G21" s="9">
        <f>基础数据!J27</f>
        <v>7000</v>
      </c>
      <c r="H21" s="12" t="e">
        <f t="shared" si="0"/>
        <v>#REF!</v>
      </c>
      <c r="I21" s="10" t="e">
        <f t="shared" si="2"/>
        <v>#REF!</v>
      </c>
      <c r="J21" s="26"/>
      <c r="K21" s="23">
        <v>17</v>
      </c>
      <c r="L21" s="27" t="e">
        <f>光伏发电衰减表min!D20</f>
        <v>#REF!</v>
      </c>
      <c r="M21" s="27" t="e">
        <f>光伏发电衰减表min!G20</f>
        <v>#REF!</v>
      </c>
      <c r="N21" s="23">
        <f>基础数据!J29</f>
        <v>30000</v>
      </c>
      <c r="O21" s="28">
        <f>基础数据!J27</f>
        <v>7000</v>
      </c>
      <c r="P21" s="29">
        <v>0</v>
      </c>
      <c r="Q21" s="29" t="e">
        <f t="shared" si="1"/>
        <v>#REF!</v>
      </c>
      <c r="R21" s="29" t="e">
        <f t="shared" si="3"/>
        <v>#REF!</v>
      </c>
    </row>
    <row r="22" ht="17.25" spans="2:18">
      <c r="B22" s="7">
        <v>18</v>
      </c>
      <c r="C22" s="11" t="e">
        <f>光伏发电衰减表min!D21</f>
        <v>#REF!</v>
      </c>
      <c r="D22" s="11" t="e">
        <f>光伏发电衰减表min!G21</f>
        <v>#REF!</v>
      </c>
      <c r="E22" s="9">
        <v>0</v>
      </c>
      <c r="F22" s="7">
        <f>基础数据!J29</f>
        <v>30000</v>
      </c>
      <c r="G22" s="9">
        <f>基础数据!J27</f>
        <v>7000</v>
      </c>
      <c r="H22" s="12" t="e">
        <f t="shared" si="0"/>
        <v>#REF!</v>
      </c>
      <c r="I22" s="10" t="e">
        <f t="shared" si="2"/>
        <v>#REF!</v>
      </c>
      <c r="J22" s="26"/>
      <c r="K22" s="23">
        <v>18</v>
      </c>
      <c r="L22" s="27" t="e">
        <f>光伏发电衰减表min!D21</f>
        <v>#REF!</v>
      </c>
      <c r="M22" s="27" t="e">
        <f>光伏发电衰减表min!G21</f>
        <v>#REF!</v>
      </c>
      <c r="N22" s="23">
        <f>基础数据!J29</f>
        <v>30000</v>
      </c>
      <c r="O22" s="28">
        <f>基础数据!J27</f>
        <v>7000</v>
      </c>
      <c r="P22" s="29">
        <v>0</v>
      </c>
      <c r="Q22" s="29" t="e">
        <f t="shared" si="1"/>
        <v>#REF!</v>
      </c>
      <c r="R22" s="29" t="e">
        <f t="shared" si="3"/>
        <v>#REF!</v>
      </c>
    </row>
    <row r="23" ht="17.25" spans="2:18">
      <c r="B23" s="7">
        <v>19</v>
      </c>
      <c r="C23" s="11" t="e">
        <f>光伏发电衰减表min!D22</f>
        <v>#REF!</v>
      </c>
      <c r="D23" s="11" t="e">
        <f>光伏发电衰减表min!G22</f>
        <v>#REF!</v>
      </c>
      <c r="E23" s="9">
        <v>0</v>
      </c>
      <c r="F23" s="7">
        <f>基础数据!J29</f>
        <v>30000</v>
      </c>
      <c r="G23" s="9">
        <f>基础数据!J27</f>
        <v>7000</v>
      </c>
      <c r="H23" s="12" t="e">
        <f t="shared" si="0"/>
        <v>#REF!</v>
      </c>
      <c r="I23" s="10" t="e">
        <f t="shared" si="2"/>
        <v>#REF!</v>
      </c>
      <c r="J23" s="26"/>
      <c r="K23" s="23">
        <v>19</v>
      </c>
      <c r="L23" s="27" t="e">
        <f>光伏发电衰减表min!D22</f>
        <v>#REF!</v>
      </c>
      <c r="M23" s="27" t="e">
        <f>光伏发电衰减表min!G22</f>
        <v>#REF!</v>
      </c>
      <c r="N23" s="23">
        <f>基础数据!J29</f>
        <v>30000</v>
      </c>
      <c r="O23" s="28">
        <f>基础数据!J27</f>
        <v>7000</v>
      </c>
      <c r="P23" s="29">
        <v>0</v>
      </c>
      <c r="Q23" s="29" t="e">
        <f t="shared" si="1"/>
        <v>#REF!</v>
      </c>
      <c r="R23" s="29" t="e">
        <f t="shared" si="3"/>
        <v>#REF!</v>
      </c>
    </row>
    <row r="24" ht="17.25" spans="2:18">
      <c r="B24" s="7">
        <v>20</v>
      </c>
      <c r="C24" s="11" t="e">
        <f>光伏发电衰减表min!D23</f>
        <v>#REF!</v>
      </c>
      <c r="D24" s="11" t="e">
        <f>光伏发电衰减表min!G23</f>
        <v>#REF!</v>
      </c>
      <c r="E24" s="9">
        <v>0</v>
      </c>
      <c r="F24" s="7">
        <f>基础数据!J29</f>
        <v>30000</v>
      </c>
      <c r="G24" s="9">
        <f>基础数据!J27</f>
        <v>7000</v>
      </c>
      <c r="H24" s="12" t="e">
        <f t="shared" si="0"/>
        <v>#REF!</v>
      </c>
      <c r="I24" s="10" t="e">
        <f t="shared" si="2"/>
        <v>#REF!</v>
      </c>
      <c r="J24" s="26"/>
      <c r="K24" s="23">
        <v>20</v>
      </c>
      <c r="L24" s="27" t="e">
        <f>光伏发电衰减表min!D23</f>
        <v>#REF!</v>
      </c>
      <c r="M24" s="27" t="e">
        <f>光伏发电衰减表min!G23</f>
        <v>#REF!</v>
      </c>
      <c r="N24" s="23">
        <f>基础数据!J29</f>
        <v>30000</v>
      </c>
      <c r="O24" s="28">
        <f>基础数据!J27</f>
        <v>7000</v>
      </c>
      <c r="P24" s="29">
        <v>0</v>
      </c>
      <c r="Q24" s="29" t="e">
        <f t="shared" si="1"/>
        <v>#REF!</v>
      </c>
      <c r="R24" s="29" t="e">
        <f t="shared" si="3"/>
        <v>#REF!</v>
      </c>
    </row>
    <row r="25" ht="17.25" spans="2:18">
      <c r="B25" s="7">
        <v>21</v>
      </c>
      <c r="C25" s="11" t="e">
        <f>光伏发电衰减表min!D24</f>
        <v>#REF!</v>
      </c>
      <c r="D25" s="11" t="e">
        <f>光伏发电衰减表min!G24</f>
        <v>#REF!</v>
      </c>
      <c r="E25" s="9">
        <v>0</v>
      </c>
      <c r="F25" s="7">
        <f>基础数据!J29</f>
        <v>30000</v>
      </c>
      <c r="G25" s="9">
        <f>基础数据!J27</f>
        <v>7000</v>
      </c>
      <c r="H25" s="12" t="e">
        <f t="shared" si="0"/>
        <v>#REF!</v>
      </c>
      <c r="I25" s="10" t="e">
        <f t="shared" si="2"/>
        <v>#REF!</v>
      </c>
      <c r="J25" s="26"/>
      <c r="K25" s="23">
        <v>21</v>
      </c>
      <c r="L25" s="27" t="e">
        <f>光伏发电衰减表min!D24</f>
        <v>#REF!</v>
      </c>
      <c r="M25" s="27" t="e">
        <f>光伏发电衰减表min!G24</f>
        <v>#REF!</v>
      </c>
      <c r="N25" s="23">
        <f>基础数据!J29</f>
        <v>30000</v>
      </c>
      <c r="O25" s="28">
        <f>基础数据!J27</f>
        <v>7000</v>
      </c>
      <c r="P25" s="29">
        <v>0</v>
      </c>
      <c r="Q25" s="29" t="e">
        <f t="shared" si="1"/>
        <v>#REF!</v>
      </c>
      <c r="R25" s="29" t="e">
        <f t="shared" si="3"/>
        <v>#REF!</v>
      </c>
    </row>
    <row r="26" ht="17.25" spans="2:18">
      <c r="B26" s="7">
        <v>22</v>
      </c>
      <c r="C26" s="11" t="e">
        <f>光伏发电衰减表min!D25</f>
        <v>#REF!</v>
      </c>
      <c r="D26" s="11" t="e">
        <f>光伏发电衰减表min!G25</f>
        <v>#REF!</v>
      </c>
      <c r="E26" s="9">
        <v>0</v>
      </c>
      <c r="F26" s="7">
        <f>基础数据!J29</f>
        <v>30000</v>
      </c>
      <c r="G26" s="9">
        <f>基础数据!J27</f>
        <v>7000</v>
      </c>
      <c r="H26" s="12" t="e">
        <f t="shared" si="0"/>
        <v>#REF!</v>
      </c>
      <c r="I26" s="10" t="e">
        <f t="shared" si="2"/>
        <v>#REF!</v>
      </c>
      <c r="J26" s="26"/>
      <c r="K26" s="23">
        <v>22</v>
      </c>
      <c r="L26" s="27" t="e">
        <f>光伏发电衰减表min!D25</f>
        <v>#REF!</v>
      </c>
      <c r="M26" s="27" t="e">
        <f>光伏发电衰减表min!G25</f>
        <v>#REF!</v>
      </c>
      <c r="N26" s="23">
        <f>基础数据!J29</f>
        <v>30000</v>
      </c>
      <c r="O26" s="28">
        <f>基础数据!J27</f>
        <v>7000</v>
      </c>
      <c r="P26" s="29">
        <v>0</v>
      </c>
      <c r="Q26" s="29" t="e">
        <f t="shared" si="1"/>
        <v>#REF!</v>
      </c>
      <c r="R26" s="29" t="e">
        <f t="shared" si="3"/>
        <v>#REF!</v>
      </c>
    </row>
    <row r="27" ht="17.25" spans="2:18">
      <c r="B27" s="7">
        <v>23</v>
      </c>
      <c r="C27" s="11" t="e">
        <f>光伏发电衰减表min!D26</f>
        <v>#REF!</v>
      </c>
      <c r="D27" s="11" t="e">
        <f>光伏发电衰减表min!G26</f>
        <v>#REF!</v>
      </c>
      <c r="E27" s="9">
        <v>0</v>
      </c>
      <c r="F27" s="7">
        <f>基础数据!J29</f>
        <v>30000</v>
      </c>
      <c r="G27" s="9">
        <f>基础数据!J27</f>
        <v>7000</v>
      </c>
      <c r="H27" s="12" t="e">
        <f t="shared" si="0"/>
        <v>#REF!</v>
      </c>
      <c r="I27" s="10" t="e">
        <f t="shared" si="2"/>
        <v>#REF!</v>
      </c>
      <c r="J27" s="26"/>
      <c r="K27" s="23">
        <v>23</v>
      </c>
      <c r="L27" s="27" t="e">
        <f>光伏发电衰减表min!D26</f>
        <v>#REF!</v>
      </c>
      <c r="M27" s="27" t="e">
        <f>光伏发电衰减表min!G26</f>
        <v>#REF!</v>
      </c>
      <c r="N27" s="23">
        <f>基础数据!J29</f>
        <v>30000</v>
      </c>
      <c r="O27" s="28">
        <f>基础数据!J27</f>
        <v>7000</v>
      </c>
      <c r="P27" s="29">
        <v>0</v>
      </c>
      <c r="Q27" s="29" t="e">
        <f t="shared" si="1"/>
        <v>#REF!</v>
      </c>
      <c r="R27" s="29" t="e">
        <f t="shared" si="3"/>
        <v>#REF!</v>
      </c>
    </row>
    <row r="28" ht="17.25" spans="2:18">
      <c r="B28" s="7">
        <v>24</v>
      </c>
      <c r="C28" s="11" t="e">
        <f>光伏发电衰减表min!D27</f>
        <v>#REF!</v>
      </c>
      <c r="D28" s="11" t="e">
        <f>光伏发电衰减表min!G27</f>
        <v>#REF!</v>
      </c>
      <c r="E28" s="9">
        <v>0</v>
      </c>
      <c r="F28" s="7">
        <f>基础数据!J29</f>
        <v>30000</v>
      </c>
      <c r="G28" s="9">
        <f>基础数据!J27</f>
        <v>7000</v>
      </c>
      <c r="H28" s="12" t="e">
        <f t="shared" si="0"/>
        <v>#REF!</v>
      </c>
      <c r="I28" s="10" t="e">
        <f t="shared" si="2"/>
        <v>#REF!</v>
      </c>
      <c r="J28" s="26"/>
      <c r="K28" s="23">
        <v>24</v>
      </c>
      <c r="L28" s="27" t="e">
        <f>光伏发电衰减表min!D27</f>
        <v>#REF!</v>
      </c>
      <c r="M28" s="27" t="e">
        <f>光伏发电衰减表min!G27</f>
        <v>#REF!</v>
      </c>
      <c r="N28" s="23">
        <f>基础数据!J29</f>
        <v>30000</v>
      </c>
      <c r="O28" s="28">
        <f>基础数据!J27</f>
        <v>7000</v>
      </c>
      <c r="P28" s="29">
        <v>0</v>
      </c>
      <c r="Q28" s="29" t="e">
        <f t="shared" si="1"/>
        <v>#REF!</v>
      </c>
      <c r="R28" s="29" t="e">
        <f t="shared" si="3"/>
        <v>#REF!</v>
      </c>
    </row>
    <row r="29" ht="17.25" spans="2:18">
      <c r="B29" s="7">
        <v>25</v>
      </c>
      <c r="C29" s="11" t="e">
        <f>光伏发电衰减表min!D28</f>
        <v>#REF!</v>
      </c>
      <c r="D29" s="11" t="e">
        <f>光伏发电衰减表min!G28</f>
        <v>#REF!</v>
      </c>
      <c r="E29" s="9">
        <v>0</v>
      </c>
      <c r="F29" s="7">
        <f>基础数据!J29</f>
        <v>30000</v>
      </c>
      <c r="G29" s="9">
        <f>基础数据!J27</f>
        <v>7000</v>
      </c>
      <c r="H29" s="12" t="e">
        <f t="shared" si="0"/>
        <v>#REF!</v>
      </c>
      <c r="I29" s="10" t="e">
        <f t="shared" si="2"/>
        <v>#REF!</v>
      </c>
      <c r="J29" s="26"/>
      <c r="K29" s="23">
        <v>25</v>
      </c>
      <c r="L29" s="27" t="e">
        <f>光伏发电衰减表min!D28</f>
        <v>#REF!</v>
      </c>
      <c r="M29" s="27" t="e">
        <f>光伏发电衰减表min!G28</f>
        <v>#REF!</v>
      </c>
      <c r="N29" s="23">
        <f>基础数据!J29</f>
        <v>30000</v>
      </c>
      <c r="O29" s="28">
        <f>基础数据!J27</f>
        <v>7000</v>
      </c>
      <c r="P29" s="29">
        <v>0</v>
      </c>
      <c r="Q29" s="29" t="e">
        <f t="shared" si="1"/>
        <v>#REF!</v>
      </c>
      <c r="R29" s="29" t="e">
        <f t="shared" si="3"/>
        <v>#REF!</v>
      </c>
    </row>
    <row r="30" ht="17.25" spans="2:18">
      <c r="B30" s="7">
        <v>26</v>
      </c>
      <c r="C30" s="11" t="e">
        <f>光伏发电衰减表min!D29</f>
        <v>#REF!</v>
      </c>
      <c r="D30" s="11" t="e">
        <f>光伏发电衰减表min!G29</f>
        <v>#REF!</v>
      </c>
      <c r="E30" s="9">
        <v>0</v>
      </c>
      <c r="F30" s="7">
        <f>基础数据!J29</f>
        <v>30000</v>
      </c>
      <c r="G30" s="9">
        <f>基础数据!J27</f>
        <v>7000</v>
      </c>
      <c r="H30" s="12" t="e">
        <f t="shared" si="0"/>
        <v>#REF!</v>
      </c>
      <c r="I30" s="10" t="e">
        <f t="shared" si="2"/>
        <v>#REF!</v>
      </c>
      <c r="K30" s="23">
        <v>26</v>
      </c>
      <c r="L30" s="27" t="e">
        <f>光伏发电衰减表min!D29</f>
        <v>#REF!</v>
      </c>
      <c r="M30" s="27" t="e">
        <f>光伏发电衰减表min!G29</f>
        <v>#REF!</v>
      </c>
      <c r="N30" s="23">
        <f>基础数据!J29</f>
        <v>30000</v>
      </c>
      <c r="O30" s="28">
        <f>基础数据!J27</f>
        <v>7000</v>
      </c>
      <c r="P30" s="29">
        <v>0</v>
      </c>
      <c r="Q30" s="29" t="e">
        <f t="shared" si="1"/>
        <v>#REF!</v>
      </c>
      <c r="R30" s="29" t="e">
        <f t="shared" si="3"/>
        <v>#REF!</v>
      </c>
    </row>
    <row r="31" ht="17.25" spans="2:18">
      <c r="B31" s="7">
        <v>27</v>
      </c>
      <c r="C31" s="11" t="e">
        <f>光伏发电衰减表min!D30</f>
        <v>#REF!</v>
      </c>
      <c r="D31" s="11" t="e">
        <f>光伏发电衰减表min!G30</f>
        <v>#REF!</v>
      </c>
      <c r="E31" s="9">
        <v>0</v>
      </c>
      <c r="F31" s="7">
        <f>基础数据!J29</f>
        <v>30000</v>
      </c>
      <c r="G31" s="9">
        <f>基础数据!J27</f>
        <v>7000</v>
      </c>
      <c r="H31" s="12" t="e">
        <f t="shared" si="0"/>
        <v>#REF!</v>
      </c>
      <c r="I31" s="10" t="e">
        <f t="shared" si="2"/>
        <v>#REF!</v>
      </c>
      <c r="K31" s="23">
        <v>27</v>
      </c>
      <c r="L31" s="27" t="e">
        <f>光伏发电衰减表min!D30</f>
        <v>#REF!</v>
      </c>
      <c r="M31" s="27" t="e">
        <f>光伏发电衰减表min!G30</f>
        <v>#REF!</v>
      </c>
      <c r="N31" s="23">
        <f>基础数据!J29</f>
        <v>30000</v>
      </c>
      <c r="O31" s="28">
        <f>基础数据!J27</f>
        <v>7000</v>
      </c>
      <c r="P31" s="29">
        <v>0</v>
      </c>
      <c r="Q31" s="29" t="e">
        <f t="shared" si="1"/>
        <v>#REF!</v>
      </c>
      <c r="R31" s="29" t="e">
        <f t="shared" si="3"/>
        <v>#REF!</v>
      </c>
    </row>
    <row r="32" ht="17.25" spans="2:18">
      <c r="B32" s="7">
        <v>28</v>
      </c>
      <c r="C32" s="11" t="e">
        <f>光伏发电衰减表min!D31</f>
        <v>#REF!</v>
      </c>
      <c r="D32" s="11" t="e">
        <f>光伏发电衰减表min!G31</f>
        <v>#REF!</v>
      </c>
      <c r="E32" s="9">
        <v>0</v>
      </c>
      <c r="F32" s="7">
        <f>基础数据!J29</f>
        <v>30000</v>
      </c>
      <c r="G32" s="9">
        <f>基础数据!J27</f>
        <v>7000</v>
      </c>
      <c r="H32" s="12" t="e">
        <f t="shared" si="0"/>
        <v>#REF!</v>
      </c>
      <c r="I32" s="10" t="e">
        <f t="shared" si="2"/>
        <v>#REF!</v>
      </c>
      <c r="K32" s="23">
        <v>28</v>
      </c>
      <c r="L32" s="27" t="e">
        <f>光伏发电衰减表min!D31</f>
        <v>#REF!</v>
      </c>
      <c r="M32" s="27" t="e">
        <f>光伏发电衰减表min!G31</f>
        <v>#REF!</v>
      </c>
      <c r="N32" s="23">
        <f>基础数据!J29</f>
        <v>30000</v>
      </c>
      <c r="O32" s="28">
        <f>基础数据!J27</f>
        <v>7000</v>
      </c>
      <c r="P32" s="29">
        <v>0</v>
      </c>
      <c r="Q32" s="29" t="e">
        <f t="shared" si="1"/>
        <v>#REF!</v>
      </c>
      <c r="R32" s="29" t="e">
        <f t="shared" si="3"/>
        <v>#REF!</v>
      </c>
    </row>
    <row r="33" ht="17.25" spans="2:18">
      <c r="B33" s="7">
        <v>29</v>
      </c>
      <c r="C33" s="11" t="e">
        <f>光伏发电衰减表min!D32</f>
        <v>#REF!</v>
      </c>
      <c r="D33" s="11" t="e">
        <f>光伏发电衰减表min!G32</f>
        <v>#REF!</v>
      </c>
      <c r="E33" s="9">
        <v>0</v>
      </c>
      <c r="F33" s="7">
        <f>基础数据!J29</f>
        <v>30000</v>
      </c>
      <c r="G33" s="9">
        <f>基础数据!J27</f>
        <v>7000</v>
      </c>
      <c r="H33" s="12" t="e">
        <f t="shared" si="0"/>
        <v>#REF!</v>
      </c>
      <c r="I33" s="10" t="e">
        <f t="shared" si="2"/>
        <v>#REF!</v>
      </c>
      <c r="K33" s="23">
        <v>29</v>
      </c>
      <c r="L33" s="27" t="e">
        <f>光伏发电衰减表min!D32</f>
        <v>#REF!</v>
      </c>
      <c r="M33" s="27" t="e">
        <f>光伏发电衰减表min!G32</f>
        <v>#REF!</v>
      </c>
      <c r="N33" s="23">
        <f>基础数据!J29</f>
        <v>30000</v>
      </c>
      <c r="O33" s="28">
        <f>基础数据!J27</f>
        <v>7000</v>
      </c>
      <c r="P33" s="29">
        <v>0</v>
      </c>
      <c r="Q33" s="29" t="e">
        <f t="shared" si="1"/>
        <v>#REF!</v>
      </c>
      <c r="R33" s="29" t="e">
        <f t="shared" si="3"/>
        <v>#REF!</v>
      </c>
    </row>
    <row r="34" ht="17.25" spans="2:18">
      <c r="B34" s="7">
        <v>30</v>
      </c>
      <c r="C34" s="11" t="e">
        <f>光伏发电衰减表min!D33</f>
        <v>#REF!</v>
      </c>
      <c r="D34" s="11" t="e">
        <f>光伏发电衰减表min!G33</f>
        <v>#REF!</v>
      </c>
      <c r="E34" s="9">
        <v>0</v>
      </c>
      <c r="F34" s="7">
        <f>基础数据!J29</f>
        <v>30000</v>
      </c>
      <c r="G34" s="9">
        <f>基础数据!J27</f>
        <v>7000</v>
      </c>
      <c r="H34" s="12" t="e">
        <f t="shared" si="0"/>
        <v>#REF!</v>
      </c>
      <c r="I34" s="10" t="e">
        <f t="shared" si="2"/>
        <v>#REF!</v>
      </c>
      <c r="K34" s="23">
        <v>30</v>
      </c>
      <c r="L34" s="27" t="e">
        <f>光伏发电衰减表min!D33</f>
        <v>#REF!</v>
      </c>
      <c r="M34" s="27" t="e">
        <f>光伏发电衰减表min!G33</f>
        <v>#REF!</v>
      </c>
      <c r="N34" s="23">
        <f>基础数据!J29</f>
        <v>30000</v>
      </c>
      <c r="O34" s="28">
        <f>基础数据!J27</f>
        <v>7000</v>
      </c>
      <c r="P34" s="29">
        <v>0</v>
      </c>
      <c r="Q34" s="29" t="e">
        <f t="shared" si="1"/>
        <v>#REF!</v>
      </c>
      <c r="R34" s="29" t="e">
        <f t="shared" si="3"/>
        <v>#REF!</v>
      </c>
    </row>
    <row r="35" ht="18" spans="2:9">
      <c r="B35" s="17"/>
      <c r="C35" s="17"/>
      <c r="D35" s="17"/>
      <c r="E35" s="17"/>
      <c r="F35" s="17"/>
      <c r="G35" s="17"/>
      <c r="H35" s="18" t="s">
        <v>203</v>
      </c>
      <c r="I35" s="31" t="e">
        <f>IRR(H4:H34)</f>
        <v>#VALUE!</v>
      </c>
    </row>
    <row r="50" spans="8:8">
      <c r="H50" s="19">
        <v>1126395.7746534</v>
      </c>
    </row>
    <row r="51" spans="8:8">
      <c r="H51" s="19">
        <v>1102917.77020033</v>
      </c>
    </row>
    <row r="52" spans="8:8">
      <c r="H52" s="19">
        <v>1094230.9085527</v>
      </c>
    </row>
    <row r="53" spans="8:8">
      <c r="H53" s="19">
        <v>1085778.82694959</v>
      </c>
    </row>
    <row r="54" spans="8:8">
      <c r="H54" s="19">
        <v>1077444.13536875</v>
      </c>
    </row>
    <row r="55" spans="8:8">
      <c r="H55" s="19">
        <v>1069344.22383244</v>
      </c>
    </row>
    <row r="56" spans="8:8">
      <c r="H56" s="19">
        <v>1061479.09234067</v>
      </c>
    </row>
    <row r="57" spans="8:8">
      <c r="H57" s="19">
        <v>1053848.74089342</v>
      </c>
    </row>
    <row r="58" spans="8:8">
      <c r="H58" s="19">
        <v>1046335.77946844</v>
      </c>
    </row>
    <row r="59" spans="8:8">
      <c r="H59" s="19">
        <v>1038940.20806572</v>
      </c>
    </row>
    <row r="60" spans="8:8">
      <c r="H60" s="19">
        <v>1031896.8067298</v>
      </c>
    </row>
    <row r="61" spans="8:8">
      <c r="H61" s="19">
        <v>1024853.40539388</v>
      </c>
    </row>
    <row r="62" spans="8:8">
      <c r="H62" s="19">
        <v>1017927.39408022</v>
      </c>
    </row>
    <row r="63" spans="8:8">
      <c r="H63" s="19">
        <v>1011236.1628111</v>
      </c>
    </row>
    <row r="64" spans="8:8">
      <c r="H64" s="19">
        <v>1004662.32156424</v>
      </c>
    </row>
    <row r="65" spans="8:8">
      <c r="H65" s="19">
        <v>998205.870339647</v>
      </c>
    </row>
    <row r="66" spans="8:8">
      <c r="H66" s="19">
        <v>991866.809137319</v>
      </c>
    </row>
    <row r="67" spans="8:8">
      <c r="H67" s="19">
        <v>985645.137957256</v>
      </c>
    </row>
    <row r="68" spans="8:8">
      <c r="H68" s="19">
        <v>979658.246821723</v>
      </c>
    </row>
    <row r="69" spans="8:8">
      <c r="H69" s="19">
        <v>973788.745708456</v>
      </c>
    </row>
    <row r="70" spans="8:8">
      <c r="H70" s="19">
        <v>967919.244595189</v>
      </c>
    </row>
    <row r="71" spans="8:8">
      <c r="H71" s="19">
        <v>962284.523526453</v>
      </c>
    </row>
    <row r="72" spans="8:8">
      <c r="H72" s="19">
        <v>956649.802457717</v>
      </c>
    </row>
    <row r="73" spans="8:8">
      <c r="H73" s="19">
        <v>951249.861433511</v>
      </c>
    </row>
    <row r="74" spans="8:8">
      <c r="H74" s="19">
        <v>945967.310431571</v>
      </c>
    </row>
  </sheetData>
  <mergeCells count="4">
    <mergeCell ref="B2:I2"/>
    <mergeCell ref="K2:R2"/>
    <mergeCell ref="T2:W2"/>
    <mergeCell ref="B35:G35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广州奇点新能源有限公司</Company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项目情况汇总</vt:lpstr>
      <vt:lpstr>基础数据</vt:lpstr>
      <vt:lpstr>光伏发电衰减表 输入数据</vt:lpstr>
      <vt:lpstr>税金参数（新）</vt:lpstr>
      <vt:lpstr>资金成本参数（新）</vt:lpstr>
      <vt:lpstr>光伏发电衰减表min EMC</vt:lpstr>
      <vt:lpstr>光伏发电衰减表 理论均值 EMC</vt:lpstr>
      <vt:lpstr>消纳率参数</vt:lpstr>
      <vt:lpstr>业主自投收益回报表</vt:lpstr>
      <vt:lpstr>总造价明细</vt:lpstr>
      <vt:lpstr>光伏发电衰减表min</vt:lpstr>
      <vt:lpstr>收益回报表min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李暉</dc:creator>
  <cp:lastModifiedBy>White_Ship</cp:lastModifiedBy>
  <dcterms:created xsi:type="dcterms:W3CDTF">2016-12-02T08:54:00Z</dcterms:created>
  <dcterms:modified xsi:type="dcterms:W3CDTF">2025-10-24T11:31:09Z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235468096A6A46F58EDE2B2D0CC085CF_13</vt:lpwstr>
  </property>
</Properties>
</file>